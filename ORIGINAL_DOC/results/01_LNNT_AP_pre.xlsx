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86859FD-74DB-4274-A043-281E536FD919}" xr6:coauthVersionLast="47" xr6:coauthVersionMax="47" xr10:uidLastSave="{00000000-0000-0000-0000-000000000000}"/>
  <bookViews>
    <workbookView xWindow="120" yWindow="120" windowWidth="16190" windowHeight="12040" xr2:uid="{00000000-000D-0000-FFFF-FFFF00000000}"/>
  </bookViews>
  <sheets>
    <sheet name="E1_005" sheetId="8" r:id="rId1"/>
    <sheet name="E1_01" sheetId="21" r:id="rId2"/>
    <sheet name="E1_015" sheetId="22" r:id="rId3"/>
    <sheet name="E1_02" sheetId="23" r:id="rId4"/>
    <sheet name="E1_035" sheetId="24" r:id="rId5"/>
    <sheet name="D1_005" sheetId="26" r:id="rId6"/>
    <sheet name="D1_01" sheetId="28" r:id="rId7"/>
    <sheet name="D1_015" sheetId="29" r:id="rId8"/>
    <sheet name="D1_02" sheetId="25" r:id="rId9"/>
    <sheet name="2000 samples, fewer epochs" sheetId="9" state="hidden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23" l="1"/>
  <c r="H38" i="23"/>
  <c r="G38" i="23"/>
  <c r="F38" i="23"/>
  <c r="E38" i="23"/>
  <c r="D38" i="23"/>
  <c r="C38" i="23"/>
  <c r="B38" i="23"/>
  <c r="I37" i="23"/>
  <c r="H37" i="23"/>
  <c r="G37" i="23"/>
  <c r="F37" i="23"/>
  <c r="E37" i="23"/>
  <c r="D37" i="23"/>
  <c r="C37" i="23"/>
  <c r="B37" i="23"/>
  <c r="I38" i="28"/>
  <c r="H38" i="28"/>
  <c r="G38" i="28"/>
  <c r="F38" i="28"/>
  <c r="E38" i="28"/>
  <c r="D38" i="28"/>
  <c r="C38" i="28"/>
  <c r="B38" i="28"/>
  <c r="I37" i="28"/>
  <c r="H37" i="28"/>
  <c r="G37" i="28"/>
  <c r="F37" i="28"/>
  <c r="E37" i="28"/>
  <c r="D37" i="28"/>
  <c r="C37" i="28"/>
  <c r="B37" i="28"/>
  <c r="I38" i="26"/>
  <c r="H38" i="26"/>
  <c r="G38" i="26"/>
  <c r="F38" i="26"/>
  <c r="E38" i="26"/>
  <c r="D38" i="26"/>
  <c r="C38" i="26"/>
  <c r="B38" i="26"/>
  <c r="I37" i="26"/>
  <c r="H37" i="26"/>
  <c r="G37" i="26"/>
  <c r="F37" i="26"/>
  <c r="E37" i="26"/>
  <c r="D37" i="26"/>
  <c r="C37" i="26"/>
  <c r="B37" i="26"/>
  <c r="I38" i="22"/>
  <c r="H38" i="22"/>
  <c r="G38" i="22"/>
  <c r="F38" i="22"/>
  <c r="E38" i="22"/>
  <c r="D38" i="22"/>
  <c r="C38" i="22"/>
  <c r="B38" i="22"/>
  <c r="I37" i="22"/>
  <c r="H37" i="22"/>
  <c r="G37" i="22"/>
  <c r="F37" i="22"/>
  <c r="E37" i="22"/>
  <c r="D37" i="22"/>
  <c r="C37" i="22"/>
  <c r="B37" i="22"/>
  <c r="I38" i="21"/>
  <c r="H38" i="21"/>
  <c r="G38" i="21"/>
  <c r="F38" i="21"/>
  <c r="E38" i="21"/>
  <c r="D38" i="21"/>
  <c r="C38" i="21"/>
  <c r="B38" i="21"/>
  <c r="I37" i="21"/>
  <c r="H37" i="21"/>
  <c r="G37" i="21"/>
  <c r="F37" i="21"/>
  <c r="E37" i="21"/>
  <c r="D37" i="21"/>
  <c r="C37" i="21"/>
  <c r="B37" i="21"/>
  <c r="I38" i="8"/>
  <c r="H38" i="8"/>
  <c r="G38" i="8"/>
  <c r="F38" i="8"/>
  <c r="E38" i="8"/>
  <c r="D38" i="8"/>
  <c r="C38" i="8"/>
  <c r="B38" i="8"/>
  <c r="I37" i="8"/>
  <c r="H37" i="8"/>
  <c r="G37" i="8"/>
  <c r="F37" i="8"/>
  <c r="E37" i="8"/>
  <c r="D37" i="8"/>
  <c r="C37" i="8"/>
  <c r="B37" i="8"/>
  <c r="C38" i="25"/>
  <c r="D38" i="25"/>
  <c r="E38" i="25"/>
  <c r="F38" i="25"/>
  <c r="G38" i="25"/>
  <c r="H38" i="25"/>
  <c r="I38" i="25"/>
  <c r="B38" i="25"/>
  <c r="C37" i="25"/>
  <c r="D37" i="25"/>
  <c r="E37" i="25"/>
  <c r="F37" i="25"/>
  <c r="G37" i="25"/>
  <c r="H37" i="25"/>
  <c r="I37" i="25"/>
  <c r="B37" i="25"/>
  <c r="I36" i="29"/>
  <c r="H36" i="29"/>
  <c r="G36" i="29"/>
  <c r="F36" i="29"/>
  <c r="E36" i="29"/>
  <c r="D36" i="29"/>
  <c r="C36" i="29"/>
  <c r="B36" i="29"/>
  <c r="I36" i="28"/>
  <c r="H36" i="28"/>
  <c r="G36" i="28"/>
  <c r="F36" i="28"/>
  <c r="E36" i="28"/>
  <c r="D36" i="28"/>
  <c r="C36" i="28"/>
  <c r="B36" i="28"/>
  <c r="I36" i="26"/>
  <c r="H36" i="26"/>
  <c r="G36" i="26"/>
  <c r="F36" i="26"/>
  <c r="E36" i="26"/>
  <c r="D36" i="26"/>
  <c r="C36" i="26"/>
  <c r="B36" i="26"/>
  <c r="I36" i="25"/>
  <c r="H36" i="25"/>
  <c r="G36" i="25"/>
  <c r="F36" i="25"/>
  <c r="E36" i="25"/>
  <c r="D36" i="25"/>
  <c r="C36" i="25"/>
  <c r="B36" i="25"/>
  <c r="I36" i="24"/>
  <c r="H36" i="24"/>
  <c r="G36" i="24"/>
  <c r="F36" i="24"/>
  <c r="E36" i="24"/>
  <c r="D36" i="24"/>
  <c r="C36" i="24"/>
  <c r="B36" i="24"/>
  <c r="I36" i="23"/>
  <c r="H36" i="23"/>
  <c r="G36" i="23"/>
  <c r="F36" i="23"/>
  <c r="E36" i="23"/>
  <c r="D36" i="23"/>
  <c r="C36" i="23"/>
  <c r="B36" i="23"/>
  <c r="I36" i="22"/>
  <c r="H36" i="22"/>
  <c r="G36" i="22"/>
  <c r="F36" i="22"/>
  <c r="E36" i="22"/>
  <c r="D36" i="22"/>
  <c r="C36" i="22"/>
  <c r="B36" i="22"/>
  <c r="C36" i="21"/>
  <c r="D36" i="21"/>
  <c r="E36" i="21"/>
  <c r="F36" i="21"/>
  <c r="G36" i="21"/>
  <c r="H36" i="21"/>
  <c r="I36" i="21"/>
  <c r="B36" i="21"/>
  <c r="C36" i="8"/>
  <c r="D36" i="8"/>
  <c r="E36" i="8"/>
  <c r="F36" i="8"/>
  <c r="G36" i="8"/>
  <c r="H36" i="8"/>
  <c r="I36" i="8"/>
  <c r="B36" i="8"/>
</calcChain>
</file>

<file path=xl/sharedStrings.xml><?xml version="1.0" encoding="utf-8"?>
<sst xmlns="http://schemas.openxmlformats.org/spreadsheetml/2006/main" count="381" uniqueCount="71">
  <si>
    <t>tap-32</t>
  </si>
  <si>
    <t>tap-31</t>
  </si>
  <si>
    <t>tap-30</t>
  </si>
  <si>
    <t>tap-29</t>
  </si>
  <si>
    <t>tap-28</t>
  </si>
  <si>
    <t>tap-27</t>
  </si>
  <si>
    <t>tap-26</t>
  </si>
  <si>
    <t>tap-25</t>
  </si>
  <si>
    <t>tap-24</t>
  </si>
  <si>
    <t>tap-23</t>
  </si>
  <si>
    <t>tap-22</t>
  </si>
  <si>
    <t>tap-21</t>
  </si>
  <si>
    <t>tap-20</t>
  </si>
  <si>
    <t>tap-19</t>
  </si>
  <si>
    <t>tap-18</t>
  </si>
  <si>
    <t>tap-17</t>
  </si>
  <si>
    <t>tap-16</t>
  </si>
  <si>
    <t>tap-15</t>
  </si>
  <si>
    <t>tap-14</t>
  </si>
  <si>
    <t>tap-13</t>
  </si>
  <si>
    <t>tap-12</t>
  </si>
  <si>
    <t>tap-11</t>
  </si>
  <si>
    <t>tap-10</t>
  </si>
  <si>
    <t>tap-9</t>
  </si>
  <si>
    <t>tap-8</t>
  </si>
  <si>
    <t>tap-7</t>
  </si>
  <si>
    <t>tap-6</t>
  </si>
  <si>
    <t>tap-5</t>
  </si>
  <si>
    <t>tap-4</t>
  </si>
  <si>
    <t>tap-3</t>
  </si>
  <si>
    <t>tap-2</t>
  </si>
  <si>
    <t>tap-1</t>
  </si>
  <si>
    <t>DPCM2</t>
    <phoneticPr fontId="4" type="noConversion"/>
  </si>
  <si>
    <t>DPCM1</t>
    <phoneticPr fontId="4" type="noConversion"/>
  </si>
  <si>
    <t>E1_005_tap4</t>
    <phoneticPr fontId="4" type="noConversion"/>
  </si>
  <si>
    <t>E1_005_tap5</t>
  </si>
  <si>
    <t>E1_005_tap6</t>
  </si>
  <si>
    <t>E1_005_tap7</t>
  </si>
  <si>
    <t>E1_005_tap8</t>
  </si>
  <si>
    <t>E1_005_tap9</t>
  </si>
  <si>
    <t>E1_005_tap10</t>
  </si>
  <si>
    <t>E1_005_tap11</t>
  </si>
  <si>
    <t>E1_005_tap12</t>
  </si>
  <si>
    <t>E1_005_tap13</t>
  </si>
  <si>
    <t>E1_005_tap14</t>
  </si>
  <si>
    <t>E1_005_tap15</t>
  </si>
  <si>
    <t>E1_005_tap16</t>
  </si>
  <si>
    <t>E1_005_tap17</t>
  </si>
  <si>
    <t>E1_005_tap18</t>
  </si>
  <si>
    <t>E1_005_tap19</t>
  </si>
  <si>
    <t>E1_005_tap20</t>
  </si>
  <si>
    <t>E1_005_tap21</t>
  </si>
  <si>
    <t>E1_005_tap22</t>
  </si>
  <si>
    <t>E1_005_tap23</t>
  </si>
  <si>
    <t>E1_005_tap24</t>
  </si>
  <si>
    <t>E1_005_tap25</t>
  </si>
  <si>
    <t>E1_005_tap26</t>
  </si>
  <si>
    <t>E1_005_tap27</t>
  </si>
  <si>
    <t>E1_005_tap28</t>
  </si>
  <si>
    <t>E1_005_tap29</t>
  </si>
  <si>
    <t>E1_005_tap30</t>
  </si>
  <si>
    <t>E1_005_tap31</t>
  </si>
  <si>
    <t>E1_005_tap32</t>
  </si>
  <si>
    <t>E1_005_tap1</t>
  </si>
  <si>
    <t>E1_005_tap2</t>
  </si>
  <si>
    <t>E1_005_tap3</t>
  </si>
  <si>
    <t>(2000 samples)</t>
    <phoneticPr fontId="4" type="noConversion"/>
  </si>
  <si>
    <t>optimal of X epoch</t>
    <phoneticPr fontId="4" type="noConversion"/>
  </si>
  <si>
    <t>average</t>
    <phoneticPr fontId="4" type="noConversion"/>
  </si>
  <si>
    <t>max</t>
    <phoneticPr fontId="4" type="noConversion"/>
  </si>
  <si>
    <t>min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</si>
</sst>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/>
    <xf numFmtId="0" fontId="3" fillId="0" borderId="0" xfId="1" applyFont="1" applyFill="1" applyAlignment="1">
      <alignment vertical="center"/>
    </xf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0" fontId="0" fillId="0" borderId="1" xfId="0" applyBorder="1" applyAlignment="1">
      <alignment vertical="center"/>
    </xf>
    <xf numFmtId="0" fontId="0" fillId="0" borderId="2" xfId="0" applyBorder="1"/>
    <xf numFmtId="10" fontId="0" fillId="6" borderId="2" xfId="0" applyNumberFormat="1" applyFill="1" applyBorder="1"/>
    <xf numFmtId="0" fontId="3" fillId="0" borderId="1" xfId="2" applyFont="1" applyFill="1" applyBorder="1" applyAlignment="1">
      <alignment vertical="center"/>
    </xf>
    <xf numFmtId="0" fontId="5" fillId="0" borderId="0" xfId="0" applyFont="1" applyAlignment="1">
      <alignment vertical="center"/>
    </xf>
    <xf numFmtId="10" fontId="6" fillId="0" borderId="0" xfId="1" applyNumberFormat="1" applyFont="1" applyFill="1"/>
    <xf numFmtId="0" fontId="6" fillId="0" borderId="0" xfId="0" applyFont="1"/>
    <xf numFmtId="10" fontId="2" fillId="0" borderId="0" xfId="2" applyNumberFormat="1" applyFill="1" applyAlignment="1"/>
    <xf numFmtId="10" fontId="1" fillId="0" borderId="3" xfId="1" applyNumberFormat="1" applyFill="1" applyBorder="1" applyAlignment="1"/>
    <xf numFmtId="176" fontId="0" fillId="0" borderId="0" xfId="0" applyNumberFormat="1" applyAlignment="1">
      <alignment horizontal="center"/>
    </xf>
    <xf numFmtId="10" fontId="0" fillId="0" borderId="2" xfId="0" applyNumberFormat="1" applyBorder="1"/>
    <xf numFmtId="10" fontId="3" fillId="0" borderId="2" xfId="2" applyNumberFormat="1" applyFont="1" applyFill="1" applyBorder="1"/>
    <xf numFmtId="10" fontId="3" fillId="0" borderId="0" xfId="1" applyNumberFormat="1" applyFont="1" applyFill="1"/>
    <xf numFmtId="10" fontId="2" fillId="3" borderId="0" xfId="2" applyNumberFormat="1" applyAlignment="1"/>
    <xf numFmtId="10" fontId="1" fillId="2" borderId="3" xfId="1" applyNumberFormat="1" applyBorder="1" applyAlignment="1"/>
    <xf numFmtId="10" fontId="0" fillId="7" borderId="0" xfId="0" applyNumberFormat="1" applyFill="1"/>
    <xf numFmtId="10" fontId="3" fillId="0" borderId="0" xfId="1" applyNumberFormat="1" applyFont="1" applyFill="1" applyBorder="1"/>
    <xf numFmtId="10" fontId="0" fillId="8" borderId="2" xfId="0" applyNumberFormat="1" applyFill="1" applyBorder="1"/>
    <xf numFmtId="10" fontId="0" fillId="8" borderId="0" xfId="0" applyNumberFormat="1" applyFill="1"/>
    <xf numFmtId="10" fontId="3" fillId="8" borderId="2" xfId="2" applyNumberFormat="1" applyFont="1" applyFill="1" applyBorder="1"/>
    <xf numFmtId="10" fontId="6" fillId="0" borderId="0" xfId="0" applyNumberFormat="1" applyFont="1"/>
    <xf numFmtId="176" fontId="6" fillId="0" borderId="0" xfId="0" applyNumberFormat="1" applyFont="1" applyAlignment="1">
      <alignment horizontal="center"/>
    </xf>
    <xf numFmtId="10" fontId="6" fillId="3" borderId="0" xfId="2" applyNumberFormat="1" applyFont="1" applyAlignment="1"/>
    <xf numFmtId="10" fontId="6" fillId="2" borderId="3" xfId="1" applyNumberFormat="1" applyFont="1" applyBorder="1" applyAlignment="1"/>
    <xf numFmtId="10" fontId="6" fillId="0" borderId="2" xfId="0" applyNumberFormat="1" applyFont="1" applyBorder="1"/>
    <xf numFmtId="10" fontId="6" fillId="6" borderId="0" xfId="0" applyNumberFormat="1" applyFont="1" applyFill="1"/>
    <xf numFmtId="10" fontId="6" fillId="0" borderId="2" xfId="2" applyNumberFormat="1" applyFont="1" applyFill="1" applyBorder="1"/>
    <xf numFmtId="10" fontId="6" fillId="7" borderId="2" xfId="0" applyNumberFormat="1" applyFont="1" applyFill="1" applyBorder="1"/>
    <xf numFmtId="10" fontId="6" fillId="7" borderId="0" xfId="0" applyNumberFormat="1" applyFont="1" applyFill="1"/>
    <xf numFmtId="10" fontId="6" fillId="8" borderId="2" xfId="2" applyNumberFormat="1" applyFont="1" applyFill="1" applyBorder="1"/>
    <xf numFmtId="10" fontId="6" fillId="8" borderId="0" xfId="0" applyNumberFormat="1" applyFont="1" applyFill="1"/>
    <xf numFmtId="0" fontId="0" fillId="6" borderId="0" xfId="0" applyFill="1" applyAlignment="1">
      <alignment horizont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(E1_005!$B$1,E1_005!$C$1,E1_005!$D$1,E1_005!$E$1,E1_005!$F$1,E1_005!$G$1,E1_005!$H$1,E1_005!$I$1)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(E1_005!$B$4,E1_005!$C$4,E1_005!$D$4,E1_005!$E$4,E1_005!$F$4,E1_005!$G$4,E1_005!$H$4,E1_005!$I$4)</c:f>
              <c:numCache>
                <c:formatCode>0.00%</c:formatCode>
                <c:ptCount val="8"/>
                <c:pt idx="0">
                  <c:v>0.73968603395061705</c:v>
                </c:pt>
                <c:pt idx="1">
                  <c:v>0.73793109567901205</c:v>
                </c:pt>
                <c:pt idx="2">
                  <c:v>0.73520462962962996</c:v>
                </c:pt>
                <c:pt idx="3">
                  <c:v>0.73302608024691396</c:v>
                </c:pt>
                <c:pt idx="4">
                  <c:v>0.72972824074074105</c:v>
                </c:pt>
                <c:pt idx="5">
                  <c:v>0.727768287037037</c:v>
                </c:pt>
                <c:pt idx="6">
                  <c:v>0.72071489197530902</c:v>
                </c:pt>
                <c:pt idx="7">
                  <c:v>0.71197770061728305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F13-4567-B30B-D430060F1B0C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(E1_005!$B$1,E1_005!$C$1,E1_005!$D$1,E1_005!$E$1,E1_005!$F$1,E1_005!$G$1,E1_005!$H$1,E1_005!$I$1)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(E1_005!$B$20,E1_005!$C$20,E1_005!$D$20,E1_005!$E$20,E1_005!$F$20,E1_005!$G$20,E1_005!$H$20,E1_005!$I$20)</c:f>
              <c:numCache>
                <c:formatCode>0.00%</c:formatCode>
                <c:ptCount val="8"/>
                <c:pt idx="0">
                  <c:v>0.73962700617283905</c:v>
                </c:pt>
                <c:pt idx="1">
                  <c:v>0.73803595679012401</c:v>
                </c:pt>
                <c:pt idx="2">
                  <c:v>0.73516890432098803</c:v>
                </c:pt>
                <c:pt idx="3">
                  <c:v>0.73285100308642004</c:v>
                </c:pt>
                <c:pt idx="4">
                  <c:v>0.72951442901234598</c:v>
                </c:pt>
                <c:pt idx="5">
                  <c:v>0.72752654320987697</c:v>
                </c:pt>
                <c:pt idx="6">
                  <c:v>0.72015509259259303</c:v>
                </c:pt>
                <c:pt idx="7">
                  <c:v>0.71157121913580301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F13-4567-B30B-D430060F1B0C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(E1_005!$B$1,E1_005!$C$1,E1_005!$D$1,E1_005!$E$1,E1_005!$F$1,E1_005!$G$1,E1_005!$H$1,E1_005!$I$1)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(E1_005!$B$28,E1_005!$C$28,E1_005!$D$28,E1_005!$E$28,E1_005!$F$28,E1_005!$G$28,E1_005!$H$28,E1_005!$I$28)</c:f>
              <c:numCache>
                <c:formatCode>0.00%</c:formatCode>
                <c:ptCount val="8"/>
                <c:pt idx="0">
                  <c:v>0.74136080246913605</c:v>
                </c:pt>
                <c:pt idx="1">
                  <c:v>0.73938688271605002</c:v>
                </c:pt>
                <c:pt idx="2">
                  <c:v>0.73564660493827205</c:v>
                </c:pt>
                <c:pt idx="3">
                  <c:v>0.73276018518518504</c:v>
                </c:pt>
                <c:pt idx="4">
                  <c:v>0.72910162037036996</c:v>
                </c:pt>
                <c:pt idx="5">
                  <c:v>0.72724050925925898</c:v>
                </c:pt>
                <c:pt idx="6">
                  <c:v>0.72197060185185202</c:v>
                </c:pt>
                <c:pt idx="7">
                  <c:v>0.71423773148148195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F13-4567-B30B-D430060F1B0C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(E1_005!$B$1,E1_005!$C$1,E1_005!$D$1,E1_005!$E$1,E1_005!$F$1,E1_005!$G$1,E1_005!$H$1,E1_005!$I$1)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E1_005!$B$32</c:f>
              <c:numCache>
                <c:formatCode>0.00%</c:formatCode>
                <c:ptCount val="1"/>
                <c:pt idx="0">
                  <c:v>0.73384907407407396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F13-4567-B30B-D430060F1B0C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E1_005!$B$1:$I$1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E1_005!$B$2:$I$2</c:f>
              <c:numCache>
                <c:formatCode>0.00%</c:formatCode>
                <c:ptCount val="8"/>
                <c:pt idx="0">
                  <c:v>0.674549768518518</c:v>
                </c:pt>
                <c:pt idx="1">
                  <c:v>0.674549768518518</c:v>
                </c:pt>
                <c:pt idx="2">
                  <c:v>0.674549768518518</c:v>
                </c:pt>
                <c:pt idx="3">
                  <c:v>0.674549768518518</c:v>
                </c:pt>
                <c:pt idx="4">
                  <c:v>0.674549768518518</c:v>
                </c:pt>
                <c:pt idx="5">
                  <c:v>0.674549768518518</c:v>
                </c:pt>
                <c:pt idx="6">
                  <c:v>0.674549768518518</c:v>
                </c:pt>
                <c:pt idx="7">
                  <c:v>0.674549768518518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F13-4567-B30B-D430060F1B0C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E1_005!$B$1:$I$1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E1_005!$B$3:$I$3</c:f>
              <c:numCache>
                <c:formatCode>0.00%</c:formatCode>
                <c:ptCount val="8"/>
                <c:pt idx="0">
                  <c:v>0.618496141975308</c:v>
                </c:pt>
                <c:pt idx="1">
                  <c:v>0.618496141975308</c:v>
                </c:pt>
                <c:pt idx="2">
                  <c:v>0.618496141975308</c:v>
                </c:pt>
                <c:pt idx="3">
                  <c:v>0.618496141975308</c:v>
                </c:pt>
                <c:pt idx="4">
                  <c:v>0.618496141975308</c:v>
                </c:pt>
                <c:pt idx="5">
                  <c:v>0.618496141975308</c:v>
                </c:pt>
                <c:pt idx="6">
                  <c:v>0.618496141975308</c:v>
                </c:pt>
                <c:pt idx="7">
                  <c:v>0.618496141975308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0-4BBD-AF48-35026E2D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(E1_01!$B$1,E1_01!$C$1,E1_01!$D$1,E1_01!$E$1,E1_01!$F$1,E1_01!$G$1,E1_01!$H$1,E1_01!$I$1)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(E1_01!$B$4,E1_01!$C$4,E1_01!$D$4,E1_01!$E$4,E1_01!$F$4,E1_01!$G$4,E1_01!$H$4,E1_01!$I$4)</c:f>
              <c:numCache>
                <c:formatCode>0.00%</c:formatCode>
                <c:ptCount val="8"/>
                <c:pt idx="0">
                  <c:v>0.72391033950617301</c:v>
                </c:pt>
                <c:pt idx="1">
                  <c:v>0.72168479938271601</c:v>
                </c:pt>
                <c:pt idx="2">
                  <c:v>0.71816844135802504</c:v>
                </c:pt>
                <c:pt idx="3">
                  <c:v>0.71538912037036995</c:v>
                </c:pt>
                <c:pt idx="4">
                  <c:v>0.710999537037037</c:v>
                </c:pt>
                <c:pt idx="5">
                  <c:v>0.70843919753086404</c:v>
                </c:pt>
                <c:pt idx="6">
                  <c:v>0.69943495370370401</c:v>
                </c:pt>
                <c:pt idx="7">
                  <c:v>0.68867793209876604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5F-457E-B67A-D5776A09CA95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(E1_01!$B$1,E1_01!$C$1,E1_01!$D$1,E1_01!$E$1,E1_01!$F$1,E1_01!$G$1,E1_01!$H$1,E1_01!$I$1)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(E1_01!$B$20,E1_01!$C$20,E1_01!$D$20,E1_01!$E$20,E1_01!$F$20,E1_01!$G$20,E1_01!$H$20,E1_01!$I$20)</c:f>
              <c:numCache>
                <c:formatCode>0.00%</c:formatCode>
                <c:ptCount val="8"/>
                <c:pt idx="0">
                  <c:v>0.72420200617284003</c:v>
                </c:pt>
                <c:pt idx="1">
                  <c:v>0.72211828703703695</c:v>
                </c:pt>
                <c:pt idx="2">
                  <c:v>0.718518518518519</c:v>
                </c:pt>
                <c:pt idx="3">
                  <c:v>0.71562353395061695</c:v>
                </c:pt>
                <c:pt idx="4">
                  <c:v>0.71131388888888902</c:v>
                </c:pt>
                <c:pt idx="5">
                  <c:v>0.70879969135802501</c:v>
                </c:pt>
                <c:pt idx="6">
                  <c:v>0.69965841049382704</c:v>
                </c:pt>
                <c:pt idx="7">
                  <c:v>0.68942484567901197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5F-457E-B67A-D5776A09CA95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(E1_01!$B$1,E1_01!$C$1,E1_01!$D$1,E1_01!$E$1,E1_01!$F$1,E1_01!$G$1,E1_01!$H$1,E1_01!$I$1)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(E1_01!$B$28,E1_01!$C$28,E1_01!$D$28,E1_01!$E$28,E1_01!$F$28,E1_01!$G$28,E1_01!$H$28,E1_01!$I$28)</c:f>
              <c:numCache>
                <c:formatCode>0.00%</c:formatCode>
                <c:ptCount val="8"/>
                <c:pt idx="0">
                  <c:v>0.72518016975308597</c:v>
                </c:pt>
                <c:pt idx="1">
                  <c:v>0.72287137345678998</c:v>
                </c:pt>
                <c:pt idx="2">
                  <c:v>0.71836203703703705</c:v>
                </c:pt>
                <c:pt idx="3">
                  <c:v>0.71472361111111105</c:v>
                </c:pt>
                <c:pt idx="4">
                  <c:v>0.709737808641975</c:v>
                </c:pt>
                <c:pt idx="5">
                  <c:v>0.70730979938271599</c:v>
                </c:pt>
                <c:pt idx="6">
                  <c:v>0.70037229938271595</c:v>
                </c:pt>
                <c:pt idx="7">
                  <c:v>0.69106520061728405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5F-457E-B67A-D5776A09CA95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(E1_01!$B$1,E1_01!$C$1,E1_01!$D$1,E1_01!$E$1,E1_01!$F$1,E1_01!$G$1,E1_01!$H$1,E1_01!$I$1)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E1_01!$B$32</c:f>
              <c:numCache>
                <c:formatCode>0.00%</c:formatCode>
                <c:ptCount val="1"/>
                <c:pt idx="0">
                  <c:v>0.72667854938271603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5F-457E-B67A-D5776A09CA95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E1_01!$B$1:$I$1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E1_01!$B$2:$I$2</c:f>
              <c:numCache>
                <c:formatCode>0.00%</c:formatCode>
                <c:ptCount val="8"/>
                <c:pt idx="0">
                  <c:v>0.64541558641975305</c:v>
                </c:pt>
                <c:pt idx="1">
                  <c:v>0.64541558641975305</c:v>
                </c:pt>
                <c:pt idx="2">
                  <c:v>0.64541558641975305</c:v>
                </c:pt>
                <c:pt idx="3">
                  <c:v>0.64541558641975305</c:v>
                </c:pt>
                <c:pt idx="4">
                  <c:v>0.64541558641975305</c:v>
                </c:pt>
                <c:pt idx="5">
                  <c:v>0.64541558641975305</c:v>
                </c:pt>
                <c:pt idx="6">
                  <c:v>0.64541558641975305</c:v>
                </c:pt>
                <c:pt idx="7">
                  <c:v>0.64541558641975305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5F-457E-B67A-D5776A09CA95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E1_01!$B$1:$I$1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E1_01!$B$3:$I$3</c:f>
              <c:numCache>
                <c:formatCode>0.00%</c:formatCode>
                <c:ptCount val="8"/>
                <c:pt idx="0">
                  <c:v>0.56067484567901205</c:v>
                </c:pt>
                <c:pt idx="1">
                  <c:v>0.56067484567901205</c:v>
                </c:pt>
                <c:pt idx="2">
                  <c:v>0.56067484567901205</c:v>
                </c:pt>
                <c:pt idx="3">
                  <c:v>0.56067484567901205</c:v>
                </c:pt>
                <c:pt idx="4">
                  <c:v>0.56067484567901205</c:v>
                </c:pt>
                <c:pt idx="5">
                  <c:v>0.56067484567901205</c:v>
                </c:pt>
                <c:pt idx="6">
                  <c:v>0.56067484567901205</c:v>
                </c:pt>
                <c:pt idx="7">
                  <c:v>0.56067484567901205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5F-457E-B67A-D5776A09C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3000000000000009"/>
          <c:min val="0.64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(E1_015!$B$1,E1_015!$C$1,E1_015!$D$1,E1_015!$E$1,E1_015!$F$1,E1_015!$G$1,E1_015!$H$1,E1_015!$I$1)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(E1_015!$B$4,E1_015!$C$4,E1_015!$D$4,E1_015!$E$4,E1_015!$F$4,E1_015!$G$4,E1_015!$H$4,E1_015!$I$4)</c:f>
              <c:numCache>
                <c:formatCode>0.00%</c:formatCode>
                <c:ptCount val="8"/>
                <c:pt idx="0">
                  <c:v>0.69458325617284</c:v>
                </c:pt>
                <c:pt idx="1">
                  <c:v>0.69133240740740698</c:v>
                </c:pt>
                <c:pt idx="2">
                  <c:v>0.68647962962963005</c:v>
                </c:pt>
                <c:pt idx="3">
                  <c:v>0.68261712962962995</c:v>
                </c:pt>
                <c:pt idx="4">
                  <c:v>0.67631466049382705</c:v>
                </c:pt>
                <c:pt idx="5">
                  <c:v>0.67254112654320997</c:v>
                </c:pt>
                <c:pt idx="6">
                  <c:v>0.66026581790123495</c:v>
                </c:pt>
                <c:pt idx="7">
                  <c:v>0.64648094135802503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48-4F42-932D-6561643DE5CF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(E1_015!$B$1,E1_015!$C$1,E1_015!$D$1,E1_015!$E$1,E1_015!$F$1,E1_015!$G$1,E1_015!$H$1,E1_015!$I$1)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(E1_015!$B$20,E1_015!$C$20,E1_015!$D$20,E1_015!$E$20,E1_015!$F$20,E1_015!$G$20,E1_015!$H$20,E1_015!$I$20)</c:f>
              <c:numCache>
                <c:formatCode>0.00%</c:formatCode>
                <c:ptCount val="8"/>
                <c:pt idx="0">
                  <c:v>0.697332175925926</c:v>
                </c:pt>
                <c:pt idx="1">
                  <c:v>0.69300486111111104</c:v>
                </c:pt>
                <c:pt idx="2">
                  <c:v>0.68684135802469204</c:v>
                </c:pt>
                <c:pt idx="3">
                  <c:v>0.68300648148148202</c:v>
                </c:pt>
                <c:pt idx="4">
                  <c:v>0.67806412037037</c:v>
                </c:pt>
                <c:pt idx="5">
                  <c:v>0.67510285493827205</c:v>
                </c:pt>
                <c:pt idx="6">
                  <c:v>0.66239375</c:v>
                </c:pt>
                <c:pt idx="7">
                  <c:v>0.64811435185185196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48-4F42-932D-6561643DE5CF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(E1_015!$B$1,E1_015!$C$1,E1_015!$D$1,E1_015!$E$1,E1_015!$F$1,E1_015!$G$1,E1_015!$H$1,E1_015!$I$1)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(E1_015!$B$28,E1_015!$C$28,E1_015!$D$28,E1_015!$E$28,E1_015!$F$28,E1_015!$G$28,E1_015!$H$28,E1_015!$I$28)</c:f>
              <c:numCache>
                <c:formatCode>0.00%</c:formatCode>
                <c:ptCount val="8"/>
                <c:pt idx="0">
                  <c:v>0.69662677469135803</c:v>
                </c:pt>
                <c:pt idx="1">
                  <c:v>0.69314938271604898</c:v>
                </c:pt>
                <c:pt idx="2">
                  <c:v>0.68932785493827198</c:v>
                </c:pt>
                <c:pt idx="3">
                  <c:v>0.68712283950617303</c:v>
                </c:pt>
                <c:pt idx="4">
                  <c:v>0.68317021604938299</c:v>
                </c:pt>
                <c:pt idx="5">
                  <c:v>0.67986242283950604</c:v>
                </c:pt>
                <c:pt idx="6">
                  <c:v>0.66371319444444399</c:v>
                </c:pt>
                <c:pt idx="7">
                  <c:v>0.64635864197530901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48-4F42-932D-6561643DE5CF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(E1_015!$B$1,E1_015!$C$1,E1_015!$D$1,E1_015!$E$1,E1_015!$F$1,E1_015!$G$1,E1_015!$H$1,E1_015!$I$1)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E1_015!$B$32</c:f>
              <c:numCache>
                <c:formatCode>0.00%</c:formatCode>
                <c:ptCount val="1"/>
                <c:pt idx="0">
                  <c:v>0.69115671296296299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48-4F42-932D-6561643DE5CF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E1_015!$B$1:$I$1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E1_015!$B$2:$I$2</c:f>
              <c:numCache>
                <c:formatCode>0.00%</c:formatCode>
                <c:ptCount val="8"/>
                <c:pt idx="0">
                  <c:v>0.61219567901234495</c:v>
                </c:pt>
                <c:pt idx="1">
                  <c:v>0.61219567901234495</c:v>
                </c:pt>
                <c:pt idx="2">
                  <c:v>0.61219567901234495</c:v>
                </c:pt>
                <c:pt idx="3">
                  <c:v>0.61219567901234495</c:v>
                </c:pt>
                <c:pt idx="4">
                  <c:v>0.61219567901234495</c:v>
                </c:pt>
                <c:pt idx="5">
                  <c:v>0.61219567901234495</c:v>
                </c:pt>
                <c:pt idx="6">
                  <c:v>0.61219567901234495</c:v>
                </c:pt>
                <c:pt idx="7">
                  <c:v>0.61219567901234495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48-4F42-932D-6561643DE5CF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E1_015!$B$1:$I$1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E1_015!$B$3:$I$3</c:f>
              <c:numCache>
                <c:formatCode>0.00%</c:formatCode>
                <c:ptCount val="8"/>
                <c:pt idx="0">
                  <c:v>0.51451118827160403</c:v>
                </c:pt>
                <c:pt idx="1">
                  <c:v>0.51451118827160403</c:v>
                </c:pt>
                <c:pt idx="2">
                  <c:v>0.51451118827160403</c:v>
                </c:pt>
                <c:pt idx="3">
                  <c:v>0.51451118827160403</c:v>
                </c:pt>
                <c:pt idx="4">
                  <c:v>0.51451118827160403</c:v>
                </c:pt>
                <c:pt idx="5">
                  <c:v>0.51451118827160403</c:v>
                </c:pt>
                <c:pt idx="6">
                  <c:v>0.51451118827160403</c:v>
                </c:pt>
                <c:pt idx="7">
                  <c:v>0.51451118827160403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48-4F42-932D-6561643D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1000000000000008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(E1_02!$B$1,E1_02!$C$1,E1_02!$D$1,E1_02!$E$1,E1_02!$F$1,E1_02!$G$1,E1_02!$H$1,E1_02!$I$1)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(E1_02!$B$4,E1_02!$C$4,E1_02!$D$4,E1_02!$E$4,E1_02!$F$4,E1_02!$G$4,E1_02!$H$4,E1_02!$I$4)</c:f>
              <c:numCache>
                <c:formatCode>0.00%</c:formatCode>
                <c:ptCount val="8"/>
                <c:pt idx="0">
                  <c:v>0.70278333333333298</c:v>
                </c:pt>
                <c:pt idx="1">
                  <c:v>0.70051280864197496</c:v>
                </c:pt>
                <c:pt idx="2">
                  <c:v>0.69689174382716101</c:v>
                </c:pt>
                <c:pt idx="3">
                  <c:v>0.69542283950617301</c:v>
                </c:pt>
                <c:pt idx="4">
                  <c:v>0.68960601851851799</c:v>
                </c:pt>
                <c:pt idx="5">
                  <c:v>0.68690131172839497</c:v>
                </c:pt>
                <c:pt idx="6">
                  <c:v>0.67726087962963</c:v>
                </c:pt>
                <c:pt idx="7">
                  <c:v>0.66551658950617298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A-4BAA-B53B-3F53B52CFBD5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(E1_02!$B$1,E1_02!$C$1,E1_02!$D$1,E1_02!$E$1,E1_02!$F$1,E1_02!$G$1,E1_02!$H$1,E1_02!$I$1)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(E1_02!$B$20,E1_02!$C$20,E1_02!$D$20,E1_02!$E$20,E1_02!$F$20,E1_02!$G$20,E1_02!$H$20,E1_02!$I$20)</c:f>
              <c:numCache>
                <c:formatCode>0.00%</c:formatCode>
                <c:ptCount val="8"/>
                <c:pt idx="0">
                  <c:v>0.70399158950617302</c:v>
                </c:pt>
                <c:pt idx="1">
                  <c:v>0.70175532407407404</c:v>
                </c:pt>
                <c:pt idx="2">
                  <c:v>0.69821975308642004</c:v>
                </c:pt>
                <c:pt idx="3">
                  <c:v>0.69542283950617301</c:v>
                </c:pt>
                <c:pt idx="4">
                  <c:v>0.69094297839506202</c:v>
                </c:pt>
                <c:pt idx="5">
                  <c:v>0.68820756172839503</c:v>
                </c:pt>
                <c:pt idx="6">
                  <c:v>0.67875609567901196</c:v>
                </c:pt>
                <c:pt idx="7">
                  <c:v>0.66720300925925902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A-4BAA-B53B-3F53B52CFBD5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(E1_02!$B$1,E1_02!$C$1,E1_02!$D$1,E1_02!$E$1,E1_02!$F$1,E1_02!$G$1,E1_02!$H$1,E1_02!$I$1)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(E1_02!$B$28,E1_02!$C$28,E1_02!$D$28,E1_02!$E$28,E1_02!$F$28,E1_02!$G$28,E1_02!$H$28,E1_02!$I$28)</c:f>
              <c:numCache>
                <c:formatCode>0.00%</c:formatCode>
                <c:ptCount val="8"/>
                <c:pt idx="0">
                  <c:v>0.702993441358025</c:v>
                </c:pt>
                <c:pt idx="1">
                  <c:v>0.70145270061728404</c:v>
                </c:pt>
                <c:pt idx="2">
                  <c:v>0.69882407407407399</c:v>
                </c:pt>
                <c:pt idx="3">
                  <c:v>0.69629490740740696</c:v>
                </c:pt>
                <c:pt idx="4">
                  <c:v>0.69143665123456799</c:v>
                </c:pt>
                <c:pt idx="5">
                  <c:v>0.688259490740741</c:v>
                </c:pt>
                <c:pt idx="6">
                  <c:v>0.67827469135802498</c:v>
                </c:pt>
                <c:pt idx="7">
                  <c:v>0.66809490740740696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1A-4BAA-B53B-3F53B52CFBD5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(E1_02!$B$1,E1_02!$C$1,E1_02!$D$1,E1_02!$E$1,E1_02!$F$1,E1_02!$G$1,E1_02!$H$1,E1_02!$I$1)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E1_02!$B$32</c:f>
              <c:numCache>
                <c:formatCode>0.00%</c:formatCode>
                <c:ptCount val="1"/>
                <c:pt idx="0">
                  <c:v>0.67914043209876596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1A-4BAA-B53B-3F53B52CFBD5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E1_02!$B$1:$I$1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E1_02!$B$2:$I$2</c:f>
              <c:numCache>
                <c:formatCode>0.00%</c:formatCode>
                <c:ptCount val="8"/>
                <c:pt idx="0">
                  <c:v>0.60984390432098701</c:v>
                </c:pt>
                <c:pt idx="1">
                  <c:v>0.60984390432098701</c:v>
                </c:pt>
                <c:pt idx="2">
                  <c:v>0.60984390432098701</c:v>
                </c:pt>
                <c:pt idx="3">
                  <c:v>0.60984390432098701</c:v>
                </c:pt>
                <c:pt idx="4">
                  <c:v>0.60984390432098701</c:v>
                </c:pt>
                <c:pt idx="5">
                  <c:v>0.60984390432098701</c:v>
                </c:pt>
                <c:pt idx="6">
                  <c:v>0.60984390432098701</c:v>
                </c:pt>
                <c:pt idx="7">
                  <c:v>0.60984390432098701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1A-4BAA-B53B-3F53B52CFBD5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E1_02!$B$1:$I$1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E1_02!$B$3:$I$3</c:f>
              <c:numCache>
                <c:formatCode>0.00%</c:formatCode>
                <c:ptCount val="8"/>
                <c:pt idx="0">
                  <c:v>0.51208611111111102</c:v>
                </c:pt>
                <c:pt idx="1">
                  <c:v>0.51208611111111102</c:v>
                </c:pt>
                <c:pt idx="2">
                  <c:v>0.51208611111111102</c:v>
                </c:pt>
                <c:pt idx="3">
                  <c:v>0.51208611111111102</c:v>
                </c:pt>
                <c:pt idx="4">
                  <c:v>0.51208611111111102</c:v>
                </c:pt>
                <c:pt idx="5">
                  <c:v>0.51208611111111102</c:v>
                </c:pt>
                <c:pt idx="6">
                  <c:v>0.51208611111111102</c:v>
                </c:pt>
                <c:pt idx="7">
                  <c:v>0.51208611111111102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1A-4BAA-B53B-3F53B52CF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(E1_035!$B$1,E1_035!$C$1,E1_035!$D$1,E1_035!$E$1,E1_035!$F$1,E1_035!$G$1,E1_035!$H$1,E1_035!$I$1)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(E1_035!$B$4,E1_035!$C$4,E1_035!$D$4,E1_035!$E$4,E1_035!$F$4,E1_035!$G$4,E1_035!$H$4,E1_035!$I$4)</c:f>
              <c:numCache>
                <c:formatCode>0.00%</c:formatCode>
                <c:ptCount val="8"/>
                <c:pt idx="0">
                  <c:v>0.67667438271604896</c:v>
                </c:pt>
                <c:pt idx="1">
                  <c:v>0.67399135802469101</c:v>
                </c:pt>
                <c:pt idx="2">
                  <c:v>0.66952970679012402</c:v>
                </c:pt>
                <c:pt idx="3">
                  <c:v>0.66583580246913598</c:v>
                </c:pt>
                <c:pt idx="4">
                  <c:v>0.65985679012345699</c:v>
                </c:pt>
                <c:pt idx="5">
                  <c:v>0.65620995370370405</c:v>
                </c:pt>
                <c:pt idx="6">
                  <c:v>0.64286365740740703</c:v>
                </c:pt>
                <c:pt idx="7">
                  <c:v>0.62592538580246904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94-4845-BEE2-9B75ABF98CB9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(E1_035!$B$1,E1_035!$C$1,E1_035!$D$1,E1_035!$E$1,E1_035!$F$1,E1_035!$G$1,E1_035!$H$1,E1_035!$I$1)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(E1_035!$B$20,E1_035!$C$20,E1_035!$D$20,E1_035!$E$20,E1_035!$F$20,E1_035!$G$20,E1_035!$H$20,E1_035!$I$20)</c:f>
              <c:numCache>
                <c:formatCode>0.00%</c:formatCode>
                <c:ptCount val="8"/>
                <c:pt idx="0">
                  <c:v>0.67868966049382695</c:v>
                </c:pt>
                <c:pt idx="1">
                  <c:v>0.67615547839506196</c:v>
                </c:pt>
                <c:pt idx="2">
                  <c:v>0.67202160493827201</c:v>
                </c:pt>
                <c:pt idx="3">
                  <c:v>0.66854429012345695</c:v>
                </c:pt>
                <c:pt idx="4">
                  <c:v>0.66285030864197503</c:v>
                </c:pt>
                <c:pt idx="5">
                  <c:v>0.65933495370370399</c:v>
                </c:pt>
                <c:pt idx="6">
                  <c:v>0.64589382716049404</c:v>
                </c:pt>
                <c:pt idx="7">
                  <c:v>0.629525077160494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94-4845-BEE2-9B75ABF98CB9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(E1_035!$B$1,E1_035!$C$1,E1_035!$D$1,E1_035!$E$1,E1_035!$F$1,E1_035!$G$1,E1_035!$H$1,E1_035!$I$1)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(E1_035!$B$28,E1_035!$C$28,E1_035!$D$28,E1_035!$E$28,E1_035!$F$28,E1_035!$G$28,E1_035!$H$28,E1_035!$I$28)</c:f>
              <c:numCache>
                <c:formatCode>0.00%</c:formatCode>
                <c:ptCount val="8"/>
                <c:pt idx="0">
                  <c:v>0.68072368827160501</c:v>
                </c:pt>
                <c:pt idx="1">
                  <c:v>0.67870748456790098</c:v>
                </c:pt>
                <c:pt idx="2">
                  <c:v>0.67441319444444503</c:v>
                </c:pt>
                <c:pt idx="3">
                  <c:v>0.67019143518518498</c:v>
                </c:pt>
                <c:pt idx="4">
                  <c:v>0.66309282407407399</c:v>
                </c:pt>
                <c:pt idx="5">
                  <c:v>0.65905084876543196</c:v>
                </c:pt>
                <c:pt idx="6">
                  <c:v>0.64757932098765403</c:v>
                </c:pt>
                <c:pt idx="7">
                  <c:v>0.63550486111111104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94-4845-BEE2-9B75ABF98CB9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(E1_035!$B$1,E1_035!$C$1,E1_035!$D$1,E1_035!$E$1,E1_035!$F$1,E1_035!$G$1,E1_035!$H$1,E1_035!$I$1)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E1_035!$B$32</c:f>
              <c:numCache>
                <c:formatCode>0.00%</c:formatCode>
                <c:ptCount val="1"/>
                <c:pt idx="0">
                  <c:v>0.64276689814814802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94-4845-BEE2-9B75ABF98CB9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E1_035!$B$1:$I$1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E1_035!$B$2:$I$2</c:f>
              <c:numCache>
                <c:formatCode>0.00%</c:formatCode>
                <c:ptCount val="8"/>
                <c:pt idx="0">
                  <c:v>0.52801226851851801</c:v>
                </c:pt>
                <c:pt idx="1">
                  <c:v>0.52801226851851801</c:v>
                </c:pt>
                <c:pt idx="2">
                  <c:v>0.52801226851851801</c:v>
                </c:pt>
                <c:pt idx="3">
                  <c:v>0.52801226851851801</c:v>
                </c:pt>
                <c:pt idx="4">
                  <c:v>0.52801226851851801</c:v>
                </c:pt>
                <c:pt idx="5">
                  <c:v>0.52801226851851801</c:v>
                </c:pt>
                <c:pt idx="6">
                  <c:v>0.52801226851851801</c:v>
                </c:pt>
                <c:pt idx="7">
                  <c:v>0.52801226851851801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94-4845-BEE2-9B75ABF98CB9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E1_035!$B$1:$I$1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E1_035!$B$3:$I$3</c:f>
              <c:numCache>
                <c:formatCode>0.00%</c:formatCode>
                <c:ptCount val="8"/>
                <c:pt idx="0">
                  <c:v>0.43536141975308601</c:v>
                </c:pt>
                <c:pt idx="1">
                  <c:v>0.43536141975308601</c:v>
                </c:pt>
                <c:pt idx="2">
                  <c:v>0.43536141975308601</c:v>
                </c:pt>
                <c:pt idx="3">
                  <c:v>0.43536141975308601</c:v>
                </c:pt>
                <c:pt idx="4">
                  <c:v>0.43536141975308601</c:v>
                </c:pt>
                <c:pt idx="5">
                  <c:v>0.43536141975308601</c:v>
                </c:pt>
                <c:pt idx="6">
                  <c:v>0.43536141975308601</c:v>
                </c:pt>
                <c:pt idx="7">
                  <c:v>0.43536141975308601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94-4845-BEE2-9B75ABF98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000000000000000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(D1_005!$B$1,D1_005!$C$1,D1_005!$D$1,D1_005!$E$1,D1_005!$F$1,D1_005!$G$1,D1_005!$H$1,D1_005!$I$1)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(D1_005!$B$4,D1_005!$C$4,D1_005!$D$4,D1_005!$E$4,D1_005!$F$4,D1_005!$G$4,D1_005!$H$4,D1_005!$I$4)</c:f>
              <c:numCache>
                <c:formatCode>0.00%</c:formatCode>
                <c:ptCount val="8"/>
                <c:pt idx="0">
                  <c:v>0.72586010802469103</c:v>
                </c:pt>
                <c:pt idx="1">
                  <c:v>0.72297584876543197</c:v>
                </c:pt>
                <c:pt idx="2">
                  <c:v>0.71862152777777799</c:v>
                </c:pt>
                <c:pt idx="3">
                  <c:v>0.71525239197530899</c:v>
                </c:pt>
                <c:pt idx="4">
                  <c:v>0.71053688271604898</c:v>
                </c:pt>
                <c:pt idx="5">
                  <c:v>0.70809945987654299</c:v>
                </c:pt>
                <c:pt idx="6">
                  <c:v>0.70107137345679005</c:v>
                </c:pt>
                <c:pt idx="7">
                  <c:v>0.69218557098765399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74-4A58-8DB6-FEB87943127B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(D1_005!$B$1,D1_005!$C$1,D1_005!$D$1,D1_005!$E$1,D1_005!$F$1,D1_005!$G$1,D1_005!$H$1,D1_005!$I$1)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(D1_005!$B$20,D1_005!$C$20,D1_005!$D$20,D1_005!$E$20,D1_005!$F$20,D1_005!$G$20,D1_005!$H$20,D1_005!$I$20)</c:f>
              <c:numCache>
                <c:formatCode>0.00%</c:formatCode>
                <c:ptCount val="8"/>
                <c:pt idx="0">
                  <c:v>0.72806304012345702</c:v>
                </c:pt>
                <c:pt idx="1">
                  <c:v>0.72554668209876605</c:v>
                </c:pt>
                <c:pt idx="2">
                  <c:v>0.72109722222222195</c:v>
                </c:pt>
                <c:pt idx="3">
                  <c:v>0.717589660493827</c:v>
                </c:pt>
                <c:pt idx="4">
                  <c:v>0.71317854938271596</c:v>
                </c:pt>
                <c:pt idx="5">
                  <c:v>0.71102908950617305</c:v>
                </c:pt>
                <c:pt idx="6">
                  <c:v>0.704025231481481</c:v>
                </c:pt>
                <c:pt idx="7">
                  <c:v>0.694002314814815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74-4A58-8DB6-FEB87943127B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(D1_005!$B$1,D1_005!$C$1,D1_005!$D$1,D1_005!$E$1,D1_005!$F$1,D1_005!$G$1,D1_005!$H$1,D1_005!$I$1)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(D1_005!$B$28,D1_005!$C$28,D1_005!$D$28,D1_005!$E$28,D1_005!$F$28,D1_005!$G$28,D1_005!$H$28,D1_005!$I$28)</c:f>
              <c:numCache>
                <c:formatCode>0.00%</c:formatCode>
                <c:ptCount val="8"/>
                <c:pt idx="0">
                  <c:v>0.72757229938271595</c:v>
                </c:pt>
                <c:pt idx="1">
                  <c:v>0.72417337962963002</c:v>
                </c:pt>
                <c:pt idx="2">
                  <c:v>0.72030709876543197</c:v>
                </c:pt>
                <c:pt idx="3">
                  <c:v>0.71819143518518502</c:v>
                </c:pt>
                <c:pt idx="4">
                  <c:v>0.71567669753086405</c:v>
                </c:pt>
                <c:pt idx="5">
                  <c:v>0.71408695987654303</c:v>
                </c:pt>
                <c:pt idx="6">
                  <c:v>0.70566797839506201</c:v>
                </c:pt>
                <c:pt idx="7">
                  <c:v>0.69440084876543196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74-4A58-8DB6-FEB87943127B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(D1_005!$B$1,D1_005!$C$1,D1_005!$D$1,D1_005!$E$1,D1_005!$F$1,D1_005!$G$1,D1_005!$H$1,D1_005!$I$1)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D1_005!$B$32</c:f>
              <c:numCache>
                <c:formatCode>0.00%</c:formatCode>
                <c:ptCount val="1"/>
                <c:pt idx="0">
                  <c:v>0.72252129629629602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74-4A58-8DB6-FEB87943127B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D1_005!$B$1:$I$1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D1_005!$B$2:$I$2</c:f>
              <c:numCache>
                <c:formatCode>0.00%</c:formatCode>
                <c:ptCount val="8"/>
                <c:pt idx="0">
                  <c:v>0.66775987654320901</c:v>
                </c:pt>
                <c:pt idx="1">
                  <c:v>0.66775987654320901</c:v>
                </c:pt>
                <c:pt idx="2">
                  <c:v>0.66775987654320901</c:v>
                </c:pt>
                <c:pt idx="3">
                  <c:v>0.66775987654320901</c:v>
                </c:pt>
                <c:pt idx="4">
                  <c:v>0.66775987654320901</c:v>
                </c:pt>
                <c:pt idx="5">
                  <c:v>0.66775987654320901</c:v>
                </c:pt>
                <c:pt idx="6">
                  <c:v>0.66775987654320901</c:v>
                </c:pt>
                <c:pt idx="7">
                  <c:v>0.66775987654320901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74-4A58-8DB6-FEB87943127B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D1_005!$B$1:$I$1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D1_005!$B$3:$I$3</c:f>
              <c:numCache>
                <c:formatCode>0.00%</c:formatCode>
                <c:ptCount val="8"/>
                <c:pt idx="0">
                  <c:v>0.627925925925925</c:v>
                </c:pt>
                <c:pt idx="1">
                  <c:v>0.627925925925925</c:v>
                </c:pt>
                <c:pt idx="2">
                  <c:v>0.627925925925925</c:v>
                </c:pt>
                <c:pt idx="3">
                  <c:v>0.627925925925925</c:v>
                </c:pt>
                <c:pt idx="4">
                  <c:v>0.627925925925925</c:v>
                </c:pt>
                <c:pt idx="5">
                  <c:v>0.627925925925925</c:v>
                </c:pt>
                <c:pt idx="6">
                  <c:v>0.627925925925925</c:v>
                </c:pt>
                <c:pt idx="7">
                  <c:v>0.627925925925925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74-4A58-8DB6-FEB879431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(D1_01!$B$1,D1_01!$C$1,D1_01!$D$1,D1_01!$E$1,D1_01!$F$1,D1_01!$G$1,D1_01!$H$1,D1_01!$I$1)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(D1_01!$B$4,D1_01!$C$4,D1_01!$D$4,D1_01!$E$4,D1_01!$F$4,D1_01!$G$4,D1_01!$H$4,D1_01!$I$4)</c:f>
              <c:numCache>
                <c:formatCode>0.00%</c:formatCode>
                <c:ptCount val="8"/>
                <c:pt idx="0">
                  <c:v>0.71399945987654301</c:v>
                </c:pt>
                <c:pt idx="1">
                  <c:v>0.711342901234568</c:v>
                </c:pt>
                <c:pt idx="2">
                  <c:v>0.707188657407407</c:v>
                </c:pt>
                <c:pt idx="3">
                  <c:v>0.70387916666666706</c:v>
                </c:pt>
                <c:pt idx="4">
                  <c:v>0.698882947530864</c:v>
                </c:pt>
                <c:pt idx="5">
                  <c:v>0.69589591049382704</c:v>
                </c:pt>
                <c:pt idx="6">
                  <c:v>0.68554999999999999</c:v>
                </c:pt>
                <c:pt idx="7">
                  <c:v>0.67354567901234597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75-4750-82E6-ECFCF45BC379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(D1_01!$B$1,D1_01!$C$1,D1_01!$D$1,D1_01!$E$1,D1_01!$F$1,D1_01!$G$1,D1_01!$H$1,D1_01!$I$1)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(D1_01!$B$20,D1_01!$C$20,D1_01!$D$20,D1_01!$E$20,D1_01!$F$20,D1_01!$G$20,D1_01!$H$20,D1_01!$I$20)</c:f>
              <c:numCache>
                <c:formatCode>0.00%</c:formatCode>
                <c:ptCount val="8"/>
                <c:pt idx="0">
                  <c:v>0.716631944444444</c:v>
                </c:pt>
                <c:pt idx="1">
                  <c:v>0.71419374999999996</c:v>
                </c:pt>
                <c:pt idx="2">
                  <c:v>0.71019328703703699</c:v>
                </c:pt>
                <c:pt idx="3">
                  <c:v>0.70692407407407398</c:v>
                </c:pt>
                <c:pt idx="4">
                  <c:v>0.70207229938271598</c:v>
                </c:pt>
                <c:pt idx="5">
                  <c:v>0.699270216049383</c:v>
                </c:pt>
                <c:pt idx="6">
                  <c:v>0.68922260802469104</c:v>
                </c:pt>
                <c:pt idx="7">
                  <c:v>0.67765817901234604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75-4750-82E6-ECFCF45BC379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(D1_01!$B$1,D1_01!$C$1,D1_01!$D$1,D1_01!$E$1,D1_01!$F$1,D1_01!$G$1,D1_01!$H$1,D1_01!$I$1)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(D1_01!$B$28,D1_01!$C$28,D1_01!$D$28,D1_01!$E$28,D1_01!$F$28,D1_01!$G$28,D1_01!$H$28,D1_01!$I$28)</c:f>
              <c:numCache>
                <c:formatCode>0.00%</c:formatCode>
                <c:ptCount val="8"/>
                <c:pt idx="0">
                  <c:v>0.71786790123456801</c:v>
                </c:pt>
                <c:pt idx="1">
                  <c:v>0.71566851851851898</c:v>
                </c:pt>
                <c:pt idx="2">
                  <c:v>0.71107199074074101</c:v>
                </c:pt>
                <c:pt idx="3">
                  <c:v>0.70679876543209896</c:v>
                </c:pt>
                <c:pt idx="4">
                  <c:v>0.70033665123456801</c:v>
                </c:pt>
                <c:pt idx="5">
                  <c:v>0.69696087962963005</c:v>
                </c:pt>
                <c:pt idx="6">
                  <c:v>0.68817206790123497</c:v>
                </c:pt>
                <c:pt idx="7">
                  <c:v>0.67935964506172797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75-4750-82E6-ECFCF45BC379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(D1_01!$B$1,D1_01!$C$1,D1_01!$D$1,D1_01!$E$1,D1_01!$F$1,D1_01!$G$1,D1_01!$H$1,D1_01!$I$1)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D1_01!$B$32</c:f>
              <c:numCache>
                <c:formatCode>0.00%</c:formatCode>
                <c:ptCount val="1"/>
                <c:pt idx="0">
                  <c:v>0.69745995370370395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75-4750-82E6-ECFCF45BC379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D1_01!$B$1:$I$1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D1_01!$B$2:$I$2</c:f>
              <c:numCache>
                <c:formatCode>0.00%</c:formatCode>
                <c:ptCount val="8"/>
                <c:pt idx="0">
                  <c:v>0.63830794753086395</c:v>
                </c:pt>
                <c:pt idx="1">
                  <c:v>0.63830794753086395</c:v>
                </c:pt>
                <c:pt idx="2">
                  <c:v>0.63830794753086395</c:v>
                </c:pt>
                <c:pt idx="3">
                  <c:v>0.63830794753086395</c:v>
                </c:pt>
                <c:pt idx="4">
                  <c:v>0.63830794753086395</c:v>
                </c:pt>
                <c:pt idx="5">
                  <c:v>0.63830794753086395</c:v>
                </c:pt>
                <c:pt idx="6">
                  <c:v>0.63830794753086395</c:v>
                </c:pt>
                <c:pt idx="7">
                  <c:v>0.63830794753086395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75-4750-82E6-ECFCF45BC379}"/>
            </c:ext>
          </c:extLst>
        </c:ser>
        <c:ser>
          <c:idx val="4"/>
          <c:order val="5"/>
          <c:tx>
            <c:v>dpcm1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D1_01!$B$1:$I$1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D1_01!$B$3:$I$3</c:f>
              <c:numCache>
                <c:formatCode>0.00%</c:formatCode>
                <c:ptCount val="8"/>
                <c:pt idx="0">
                  <c:v>0.56745725308641903</c:v>
                </c:pt>
                <c:pt idx="1">
                  <c:v>0.56745725308641903</c:v>
                </c:pt>
                <c:pt idx="2">
                  <c:v>0.56745725308641903</c:v>
                </c:pt>
                <c:pt idx="3">
                  <c:v>0.56745725308641903</c:v>
                </c:pt>
                <c:pt idx="4">
                  <c:v>0.56745725308641903</c:v>
                </c:pt>
                <c:pt idx="5">
                  <c:v>0.56745725308641903</c:v>
                </c:pt>
                <c:pt idx="6">
                  <c:v>0.56745725308641903</c:v>
                </c:pt>
                <c:pt idx="7">
                  <c:v>0.56745725308641903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75-4750-82E6-ECFCF45BC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(D1_015!$B$1,D1_015!$C$1,D1_015!$D$1,D1_015!$E$1,D1_015!$F$1,D1_015!$G$1,D1_015!$H$1,D1_015!$I$1)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(D1_015!$B$4,D1_015!$C$4,D1_015!$D$4,D1_015!$E$4,D1_015!$F$4,D1_015!$G$4,D1_015!$H$4,D1_015!$I$4)</c:f>
              <c:numCache>
                <c:formatCode>0.00%</c:formatCode>
                <c:ptCount val="8"/>
                <c:pt idx="0">
                  <c:v>0.67472762345679005</c:v>
                </c:pt>
                <c:pt idx="1">
                  <c:v>0.67170748456790097</c:v>
                </c:pt>
                <c:pt idx="2">
                  <c:v>0.66702878086419803</c:v>
                </c:pt>
                <c:pt idx="3">
                  <c:v>0.66332638888888895</c:v>
                </c:pt>
                <c:pt idx="4">
                  <c:v>0.65772615740740703</c:v>
                </c:pt>
                <c:pt idx="5">
                  <c:v>0.65430408950617303</c:v>
                </c:pt>
                <c:pt idx="6">
                  <c:v>0.64234537037036998</c:v>
                </c:pt>
                <c:pt idx="7">
                  <c:v>0.62793858024691396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3-4B2F-A38B-0208C237BF63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(D1_015!$B$1,D1_015!$C$1,D1_015!$D$1,D1_015!$E$1,D1_015!$F$1,D1_015!$G$1,D1_015!$H$1,D1_015!$I$1)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(D1_015!$B$20,D1_015!$C$20,D1_015!$D$20,D1_015!$E$20,D1_015!$F$20,D1_015!$G$20,D1_015!$H$20,D1_015!$I$20)</c:f>
              <c:numCache>
                <c:formatCode>0.00%</c:formatCode>
                <c:ptCount val="8"/>
                <c:pt idx="0">
                  <c:v>0.67670138888888898</c:v>
                </c:pt>
                <c:pt idx="1">
                  <c:v>0.67341396604938297</c:v>
                </c:pt>
                <c:pt idx="2">
                  <c:v>0.66834158950617295</c:v>
                </c:pt>
                <c:pt idx="3">
                  <c:v>0.66464884259259305</c:v>
                </c:pt>
                <c:pt idx="4">
                  <c:v>0.65935046296296296</c:v>
                </c:pt>
                <c:pt idx="5">
                  <c:v>0.656296913580247</c:v>
                </c:pt>
                <c:pt idx="6">
                  <c:v>0.64521458333333304</c:v>
                </c:pt>
                <c:pt idx="7">
                  <c:v>0.63069969135802495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D3-4B2F-A38B-0208C237BF63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(D1_015!$B$1,D1_015!$C$1,D1_015!$D$1,D1_015!$E$1,D1_015!$F$1,D1_015!$G$1,D1_015!$H$1,D1_015!$I$1)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(D1_015!$B$28,D1_015!$C$28,D1_015!$D$28,D1_015!$E$28,D1_015!$F$28,D1_015!$G$28,D1_015!$H$28,D1_015!$I$28)</c:f>
              <c:numCache>
                <c:formatCode>0.00%</c:formatCode>
                <c:ptCount val="8"/>
                <c:pt idx="0">
                  <c:v>0.68008942901234604</c:v>
                </c:pt>
                <c:pt idx="1">
                  <c:v>0.67809899691358</c:v>
                </c:pt>
                <c:pt idx="2">
                  <c:v>0.67474475308642001</c:v>
                </c:pt>
                <c:pt idx="3">
                  <c:v>0.67140231481481505</c:v>
                </c:pt>
                <c:pt idx="4">
                  <c:v>0.66480208333333302</c:v>
                </c:pt>
                <c:pt idx="5">
                  <c:v>0.66017901234567899</c:v>
                </c:pt>
                <c:pt idx="6">
                  <c:v>0.64354228395061697</c:v>
                </c:pt>
                <c:pt idx="7">
                  <c:v>0.62852831790123498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D3-4B2F-A38B-0208C237BF63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(D1_015!$B$1,D1_015!$C$1,D1_015!$D$1,D1_015!$E$1,D1_015!$F$1,D1_015!$G$1,D1_015!$H$1,D1_015!$I$1)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D1_015!$B$32</c:f>
              <c:numCache>
                <c:formatCode>0.00%</c:formatCode>
                <c:ptCount val="1"/>
                <c:pt idx="0">
                  <c:v>0.63883935185185203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D3-4B2F-A38B-0208C237BF63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D1_015!$B$1:$I$1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D1_015!$B$2:$I$2</c:f>
              <c:numCache>
                <c:formatCode>0.00%</c:formatCode>
                <c:ptCount val="8"/>
                <c:pt idx="0">
                  <c:v>0.59340216049382699</c:v>
                </c:pt>
                <c:pt idx="1">
                  <c:v>0.59340216049382699</c:v>
                </c:pt>
                <c:pt idx="2">
                  <c:v>0.59340216049382699</c:v>
                </c:pt>
                <c:pt idx="3">
                  <c:v>0.59340216049382699</c:v>
                </c:pt>
                <c:pt idx="4">
                  <c:v>0.59340216049382699</c:v>
                </c:pt>
                <c:pt idx="5">
                  <c:v>0.59340216049382699</c:v>
                </c:pt>
                <c:pt idx="6">
                  <c:v>0.59340216049382699</c:v>
                </c:pt>
                <c:pt idx="7">
                  <c:v>0.59340216049382699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D3-4B2F-A38B-0208C237BF63}"/>
            </c:ext>
          </c:extLst>
        </c:ser>
        <c:ser>
          <c:idx val="4"/>
          <c:order val="5"/>
          <c:tx>
            <c:v>dpcm1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D1_015!$B$1:$I$1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D1_015!$B$3:$I$3</c:f>
              <c:numCache>
                <c:formatCode>0.00%</c:formatCode>
                <c:ptCount val="8"/>
                <c:pt idx="0">
                  <c:v>0.50754853395061705</c:v>
                </c:pt>
                <c:pt idx="1">
                  <c:v>0.50754853395061705</c:v>
                </c:pt>
                <c:pt idx="2">
                  <c:v>0.50754853395061705</c:v>
                </c:pt>
                <c:pt idx="3">
                  <c:v>0.50754853395061705</c:v>
                </c:pt>
                <c:pt idx="4">
                  <c:v>0.50754853395061705</c:v>
                </c:pt>
                <c:pt idx="5">
                  <c:v>0.50754853395061705</c:v>
                </c:pt>
                <c:pt idx="6">
                  <c:v>0.50754853395061705</c:v>
                </c:pt>
                <c:pt idx="7">
                  <c:v>0.50754853395061705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D3-4B2F-A38B-0208C237B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tap32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(D1_02!$B$1,D1_02!$C$1,D1_02!$D$1,D1_02!$E$1,D1_02!$F$1,D1_02!$G$1,D1_02!$H$1,D1_02!$I$1)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(D1_02!$B$4,D1_02!$C$4,D1_02!$D$4,D1_02!$E$4,D1_02!$F$4,D1_02!$G$4,D1_02!$H$4,D1_02!$I$4)</c:f>
              <c:numCache>
                <c:formatCode>0.00%</c:formatCode>
                <c:ptCount val="8"/>
                <c:pt idx="0">
                  <c:v>0.69033441358024705</c:v>
                </c:pt>
                <c:pt idx="1">
                  <c:v>0.68757137345678998</c:v>
                </c:pt>
                <c:pt idx="2">
                  <c:v>0.68307384259259296</c:v>
                </c:pt>
                <c:pt idx="3">
                  <c:v>0.67950231481481504</c:v>
                </c:pt>
                <c:pt idx="4">
                  <c:v>0.673932484567901</c:v>
                </c:pt>
                <c:pt idx="5">
                  <c:v>0.670652546296296</c:v>
                </c:pt>
                <c:pt idx="6">
                  <c:v>0.65909367283950604</c:v>
                </c:pt>
                <c:pt idx="7">
                  <c:v>0.644065277777778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F5-4EF9-9347-17DFF3C2AD67}"/>
            </c:ext>
          </c:extLst>
        </c:ser>
        <c:ser>
          <c:idx val="1"/>
          <c:order val="1"/>
          <c:tx>
            <c:v>tap16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(D1_02!$B$1,D1_02!$C$1,D1_02!$D$1,D1_02!$E$1,D1_02!$F$1,D1_02!$G$1,D1_02!$H$1,D1_02!$I$1)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(D1_02!$B$20,D1_02!$C$20,D1_02!$D$20,D1_02!$E$20,D1_02!$F$20,D1_02!$G$20,D1_02!$H$20,D1_02!$I$20)</c:f>
              <c:numCache>
                <c:formatCode>0.00%</c:formatCode>
                <c:ptCount val="8"/>
                <c:pt idx="0">
                  <c:v>0.69360856481481503</c:v>
                </c:pt>
                <c:pt idx="1">
                  <c:v>0.69134845679012402</c:v>
                </c:pt>
                <c:pt idx="2">
                  <c:v>0.68790763888888895</c:v>
                </c:pt>
                <c:pt idx="3">
                  <c:v>0.68490679012345701</c:v>
                </c:pt>
                <c:pt idx="4">
                  <c:v>0.67978256172839502</c:v>
                </c:pt>
                <c:pt idx="5">
                  <c:v>0.67658402777777804</c:v>
                </c:pt>
                <c:pt idx="6">
                  <c:v>0.66458194444444396</c:v>
                </c:pt>
                <c:pt idx="7">
                  <c:v>0.65053202160493795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F5-4EF9-9347-17DFF3C2AD67}"/>
            </c:ext>
          </c:extLst>
        </c:ser>
        <c:ser>
          <c:idx val="2"/>
          <c:order val="2"/>
          <c:tx>
            <c:v>tap8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(D1_02!$B$1,D1_02!$C$1,D1_02!$D$1,D1_02!$E$1,D1_02!$F$1,D1_02!$G$1,D1_02!$H$1,D1_02!$I$1)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(D1_02!$B$28,D1_02!$C$28,D1_02!$D$28,D1_02!$E$28,D1_02!$F$28,D1_02!$G$28,D1_02!$H$28,D1_02!$I$28)</c:f>
              <c:numCache>
                <c:formatCode>0.00%</c:formatCode>
                <c:ptCount val="8"/>
                <c:pt idx="0">
                  <c:v>0.69720763888888904</c:v>
                </c:pt>
                <c:pt idx="1">
                  <c:v>0.69526134259259298</c:v>
                </c:pt>
                <c:pt idx="2">
                  <c:v>0.69121126543209899</c:v>
                </c:pt>
                <c:pt idx="3">
                  <c:v>0.68714344135802496</c:v>
                </c:pt>
                <c:pt idx="4">
                  <c:v>0.68033425925925906</c:v>
                </c:pt>
                <c:pt idx="5">
                  <c:v>0.67656674382716098</c:v>
                </c:pt>
                <c:pt idx="6">
                  <c:v>0.66621442901234595</c:v>
                </c:pt>
                <c:pt idx="7">
                  <c:v>0.65559259259259295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F5-4EF9-9347-17DFF3C2AD67}"/>
            </c:ext>
          </c:extLst>
        </c:ser>
        <c:ser>
          <c:idx val="3"/>
          <c:order val="3"/>
          <c:tx>
            <c:v>tap4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(D1_02!$B$1,D1_02!$C$1,D1_02!$D$1,D1_02!$E$1,D1_02!$F$1,D1_02!$G$1,D1_02!$H$1,D1_02!$I$1)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D1_02!$B$32</c:f>
              <c:numCache>
                <c:formatCode>0.00%</c:formatCode>
                <c:ptCount val="1"/>
                <c:pt idx="0">
                  <c:v>0.67240624999999998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F5-4EF9-9347-17DFF3C2AD67}"/>
            </c:ext>
          </c:extLst>
        </c:ser>
        <c:ser>
          <c:idx val="6"/>
          <c:order val="4"/>
          <c:tx>
            <c:v>dpcm2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D1_02!$B$1:$I$1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D1_02!$B$2:$I$2</c:f>
              <c:numCache>
                <c:formatCode>0.00%</c:formatCode>
                <c:ptCount val="8"/>
                <c:pt idx="0">
                  <c:v>0.57920030864197503</c:v>
                </c:pt>
                <c:pt idx="1">
                  <c:v>0.57920030864197503</c:v>
                </c:pt>
                <c:pt idx="2">
                  <c:v>0.57920030864197503</c:v>
                </c:pt>
                <c:pt idx="3">
                  <c:v>0.57920030864197503</c:v>
                </c:pt>
                <c:pt idx="4">
                  <c:v>0.57920030864197503</c:v>
                </c:pt>
                <c:pt idx="5">
                  <c:v>0.57920030864197503</c:v>
                </c:pt>
                <c:pt idx="6">
                  <c:v>0.57920030864197503</c:v>
                </c:pt>
                <c:pt idx="7">
                  <c:v>0.57920030864197503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F5-4EF9-9347-17DFF3C2AD67}"/>
            </c:ext>
          </c:extLst>
        </c:ser>
        <c:ser>
          <c:idx val="4"/>
          <c:order val="5"/>
          <c:tx>
            <c:v>dpcm1</c:v>
          </c:tx>
          <c:spPr>
            <a:ln w="28575" cap="rnd" cmpd="sng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D1_02!$B$1:$I$1</c:f>
              <c:numCache>
                <c:formatCode>0_ </c:formatCode>
                <c:ptCount val="8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4000</c:v>
                </c:pt>
                <c:pt idx="6">
                  <c:v>2000</c:v>
                </c:pt>
                <c:pt idx="7">
                  <c:v>1000</c:v>
                </c:pt>
              </c:numCache>
            </c:numRef>
          </c:xVal>
          <c:yVal>
            <c:numRef>
              <c:f>D1_02!$B$3:$I$3</c:f>
              <c:numCache>
                <c:formatCode>0.00%</c:formatCode>
                <c:ptCount val="8"/>
                <c:pt idx="0">
                  <c:v>0.48784591049382697</c:v>
                </c:pt>
                <c:pt idx="1">
                  <c:v>0.48784591049382697</c:v>
                </c:pt>
                <c:pt idx="2">
                  <c:v>0.48784591049382697</c:v>
                </c:pt>
                <c:pt idx="3">
                  <c:v>0.48784591049382697</c:v>
                </c:pt>
                <c:pt idx="4">
                  <c:v>0.48784591049382697</c:v>
                </c:pt>
                <c:pt idx="5">
                  <c:v>0.48784591049382697</c:v>
                </c:pt>
                <c:pt idx="6">
                  <c:v>0.48784591049382697</c:v>
                </c:pt>
                <c:pt idx="7">
                  <c:v>0.48784591049382697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F5-4EF9-9347-17DFF3C2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43775"/>
        <c:axId val="370830815"/>
      </c:scatterChart>
      <c:valAx>
        <c:axId val="370843775"/>
        <c:scaling>
          <c:orientation val="minMax"/>
          <c:max val="20000"/>
          <c:min val="0"/>
        </c:scaling>
        <c:delete val="0"/>
        <c:axPos val="b"/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30815"/>
        <c:crosses val="autoZero"/>
        <c:crossBetween val="midCat"/>
      </c:valAx>
      <c:valAx>
        <c:axId val="370830815"/>
        <c:scaling>
          <c:orientation val="minMax"/>
          <c:max val="0.7500000000000001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8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488950</xdr:colOff>
      <xdr:row>39</xdr:row>
      <xdr:rowOff>168275</xdr:rowOff>
    </xdr:from>
    <xdr:to>
      <xdr:col>8</xdr:col>
      <xdr:colOff>527050</xdr:colOff>
      <xdr:row>55</xdr:row>
      <xdr:rowOff>53975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E5D91B4-441A-9DAD-6299-1394709B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39</xdr:row>
      <xdr:rowOff>60325</xdr:rowOff>
    </xdr:from>
    <xdr:to>
      <xdr:col>8</xdr:col>
      <xdr:colOff>527050</xdr:colOff>
      <xdr:row>54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44B1080-7E65-46A6-9047-555D087F9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40</xdr:row>
      <xdr:rowOff>9525</xdr:rowOff>
    </xdr:from>
    <xdr:to>
      <xdr:col>9</xdr:col>
      <xdr:colOff>425450</xdr:colOff>
      <xdr:row>55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AAA8E92-C9C0-4CC3-ABD7-FC71A37A5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615950</xdr:colOff>
      <xdr:row>36</xdr:row>
      <xdr:rowOff>98425</xdr:rowOff>
    </xdr:from>
    <xdr:to>
      <xdr:col>15</xdr:col>
      <xdr:colOff>622300</xdr:colOff>
      <xdr:row>51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DB6DCD-0C65-4347-AEC2-71F4A0986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615950</xdr:colOff>
      <xdr:row>37</xdr:row>
      <xdr:rowOff>92075</xdr:rowOff>
    </xdr:from>
    <xdr:to>
      <xdr:col>11</xdr:col>
      <xdr:colOff>622300</xdr:colOff>
      <xdr:row>52</xdr:row>
      <xdr:rowOff>155575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D73869-0681-43A8-B61A-748BA68B9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39</xdr:row>
      <xdr:rowOff>142875</xdr:rowOff>
    </xdr:from>
    <xdr:to>
      <xdr:col>9</xdr:col>
      <xdr:colOff>266700</xdr:colOff>
      <xdr:row>55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5E596EF-14D2-497E-9676-26CC1B05B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40</xdr:row>
      <xdr:rowOff>53975</xdr:rowOff>
    </xdr:from>
    <xdr:to>
      <xdr:col>8</xdr:col>
      <xdr:colOff>222250</xdr:colOff>
      <xdr:row>55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2ED884-49FC-4895-8D15-DBCBAAC06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615950</xdr:colOff>
      <xdr:row>37</xdr:row>
      <xdr:rowOff>92075</xdr:rowOff>
    </xdr:from>
    <xdr:to>
      <xdr:col>11</xdr:col>
      <xdr:colOff>622300</xdr:colOff>
      <xdr:row>52</xdr:row>
      <xdr:rowOff>155575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7D579A-C85D-43AE-A0AF-431E6F04A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40</xdr:row>
      <xdr:rowOff>60325</xdr:rowOff>
    </xdr:from>
    <xdr:to>
      <xdr:col>9</xdr:col>
      <xdr:colOff>425450</xdr:colOff>
      <xdr:row>55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118CCF6-A66F-4133-9EE2-B87CD8A61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5F97-E3BB-4F2C-B6AD-ECB145DC319A}">
  <dimension ref="A1:K48"/>
  <sheetViews>
    <sheetView tabSelected="1" topLeftCell="A13" zoomScaleNormal="100" workbookViewId="0">
      <selection activeCell="G32" sqref="G32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0.674549768518518</v>
      </c>
      <c r="C2" s="20">
        <v>0.674549768518518</v>
      </c>
      <c r="D2" s="20">
        <v>0.674549768518518</v>
      </c>
      <c r="E2" s="20">
        <v>0.674549768518518</v>
      </c>
      <c r="F2" s="20">
        <v>0.674549768518518</v>
      </c>
      <c r="G2" s="29">
        <v>0.674549768518518</v>
      </c>
      <c r="H2" s="20">
        <v>0.674549768518518</v>
      </c>
      <c r="I2" s="20">
        <v>0.674549768518518</v>
      </c>
      <c r="J2" s="14"/>
      <c r="K2" s="14"/>
    </row>
    <row r="3" spans="1:11" x14ac:dyDescent="0.3">
      <c r="A3" s="3" t="s">
        <v>33</v>
      </c>
      <c r="B3" s="21">
        <v>0.618496141975308</v>
      </c>
      <c r="C3" s="21">
        <v>0.618496141975308</v>
      </c>
      <c r="D3" s="21">
        <v>0.618496141975308</v>
      </c>
      <c r="E3" s="21">
        <v>0.618496141975308</v>
      </c>
      <c r="F3" s="21">
        <v>0.618496141975308</v>
      </c>
      <c r="G3" s="30">
        <v>0.618496141975308</v>
      </c>
      <c r="H3" s="21">
        <v>0.618496141975308</v>
      </c>
      <c r="I3" s="21">
        <v>0.618496141975308</v>
      </c>
      <c r="J3" s="15"/>
      <c r="K3" s="15"/>
    </row>
    <row r="4" spans="1:11" s="8" customFormat="1" x14ac:dyDescent="0.3">
      <c r="A4" s="10" t="s">
        <v>0</v>
      </c>
      <c r="B4" s="17">
        <v>0.73968603395061705</v>
      </c>
      <c r="C4" s="17">
        <v>0.73793109567901205</v>
      </c>
      <c r="D4" s="17">
        <v>0.73520462962962996</v>
      </c>
      <c r="E4" s="17">
        <v>0.73302608024691396</v>
      </c>
      <c r="F4" s="17">
        <v>0.72972824074074105</v>
      </c>
      <c r="G4" s="31">
        <v>0.727768287037037</v>
      </c>
      <c r="H4" s="17">
        <v>0.72071489197530902</v>
      </c>
      <c r="I4" s="17">
        <v>0.71197770061728305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0.73962700617283905</v>
      </c>
      <c r="C20" s="17">
        <v>0.73803595679012401</v>
      </c>
      <c r="D20" s="17">
        <v>0.73516890432098803</v>
      </c>
      <c r="E20" s="17">
        <v>0.73285100308642004</v>
      </c>
      <c r="F20" s="17">
        <v>0.72951442901234598</v>
      </c>
      <c r="G20" s="31">
        <v>0.72752654320987697</v>
      </c>
      <c r="H20" s="17">
        <v>0.72015509259259303</v>
      </c>
      <c r="I20" s="17">
        <v>0.71157121913580301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0.73935547839506199</v>
      </c>
      <c r="C26" s="2">
        <v>0.73804336419753103</v>
      </c>
      <c r="D26" s="2">
        <v>0.73607530864197501</v>
      </c>
      <c r="E26" s="2">
        <v>0.73420316358024695</v>
      </c>
      <c r="F26" s="2">
        <v>0.730781867283951</v>
      </c>
      <c r="G26" s="27">
        <v>0.72855208333333299</v>
      </c>
      <c r="H26" s="2">
        <v>0.72133387345679001</v>
      </c>
      <c r="I26" s="2">
        <v>0.71184421296296296</v>
      </c>
    </row>
    <row r="27" spans="1:9" x14ac:dyDescent="0.3">
      <c r="A27" s="1" t="s">
        <v>23</v>
      </c>
      <c r="B27" s="2">
        <v>0.74084205246913604</v>
      </c>
      <c r="C27" s="2">
        <v>0.738803163580247</v>
      </c>
      <c r="D27" s="2">
        <v>0.736020987654321</v>
      </c>
      <c r="E27" s="2">
        <v>0.73404027777777803</v>
      </c>
      <c r="F27" s="2">
        <v>0.73095841049382704</v>
      </c>
      <c r="G27" s="27">
        <v>0.72889783950617304</v>
      </c>
      <c r="H27" s="2">
        <v>0.72042438271604903</v>
      </c>
      <c r="I27" s="2">
        <v>0.71156412037036998</v>
      </c>
    </row>
    <row r="28" spans="1:9" s="8" customFormat="1" x14ac:dyDescent="0.3">
      <c r="A28" s="7" t="s">
        <v>24</v>
      </c>
      <c r="B28" s="17">
        <v>0.74136080246913605</v>
      </c>
      <c r="C28" s="17">
        <v>0.73938688271605002</v>
      </c>
      <c r="D28" s="17">
        <v>0.73564660493827205</v>
      </c>
      <c r="E28" s="17">
        <v>0.73276018518518504</v>
      </c>
      <c r="F28" s="17">
        <v>0.72910162037036996</v>
      </c>
      <c r="G28" s="31">
        <v>0.72724050925925898</v>
      </c>
      <c r="H28" s="17">
        <v>0.72197060185185202</v>
      </c>
      <c r="I28" s="9">
        <v>0.71423773148148195</v>
      </c>
    </row>
    <row r="29" spans="1:9" x14ac:dyDescent="0.3">
      <c r="A29" s="1" t="s">
        <v>25</v>
      </c>
      <c r="B29" s="2">
        <v>0.738733564814815</v>
      </c>
      <c r="C29" s="2">
        <v>0.73766018518518495</v>
      </c>
      <c r="D29" s="2">
        <v>0.736226774691358</v>
      </c>
      <c r="E29" s="6">
        <v>0.73496412037036996</v>
      </c>
      <c r="F29" s="2">
        <v>0.73228580246913599</v>
      </c>
      <c r="G29" s="27">
        <v>0.73024089506172796</v>
      </c>
      <c r="H29" s="2">
        <v>0.72155424382716105</v>
      </c>
      <c r="I29" s="2">
        <v>0.71340408950617296</v>
      </c>
    </row>
    <row r="30" spans="1:9" x14ac:dyDescent="0.3">
      <c r="A30" s="1" t="s">
        <v>26</v>
      </c>
      <c r="B30" s="2">
        <v>0.74057692901234595</v>
      </c>
      <c r="C30" s="2">
        <v>0.737937808641975</v>
      </c>
      <c r="D30" s="2">
        <v>0.73477731481481501</v>
      </c>
      <c r="E30" s="2">
        <v>0.73287160493827197</v>
      </c>
      <c r="F30" s="2">
        <v>0.73053449074074095</v>
      </c>
      <c r="G30" s="27">
        <v>0.72927021604938302</v>
      </c>
      <c r="H30" s="6">
        <v>0.72318402777777802</v>
      </c>
      <c r="I30" s="2">
        <v>0.71158904320987704</v>
      </c>
    </row>
    <row r="31" spans="1:9" x14ac:dyDescent="0.3">
      <c r="A31" s="1" t="s">
        <v>27</v>
      </c>
      <c r="B31" s="6">
        <v>0.74211296296296303</v>
      </c>
      <c r="C31" s="6">
        <v>0.74053688271604901</v>
      </c>
      <c r="D31" s="6">
        <v>0.73661396604938301</v>
      </c>
      <c r="E31" s="2">
        <v>0.73282777777777797</v>
      </c>
      <c r="F31" s="2">
        <v>0.72741265432098801</v>
      </c>
      <c r="G31" s="27">
        <v>0.72453341049382702</v>
      </c>
      <c r="H31" s="2">
        <v>0.71762152777777799</v>
      </c>
      <c r="I31" s="2">
        <v>0.71277083333333302</v>
      </c>
    </row>
    <row r="32" spans="1:9" s="8" customFormat="1" x14ac:dyDescent="0.3">
      <c r="A32" s="7" t="s">
        <v>28</v>
      </c>
      <c r="B32" s="17">
        <v>0.73384907407407396</v>
      </c>
      <c r="C32" s="17">
        <v>0.73384158950617295</v>
      </c>
      <c r="D32" s="17">
        <v>0.73376944444444503</v>
      </c>
      <c r="E32" s="17">
        <v>0.73355709876543196</v>
      </c>
      <c r="F32" s="9">
        <v>0.73239791666666698</v>
      </c>
      <c r="G32" s="34">
        <v>0.73096743827160504</v>
      </c>
      <c r="H32" s="17">
        <v>0.72127469135802502</v>
      </c>
      <c r="I32" s="17">
        <v>0.70654984567901202</v>
      </c>
    </row>
    <row r="33" spans="1:9" x14ac:dyDescent="0.3">
      <c r="A33" s="1" t="s">
        <v>29</v>
      </c>
      <c r="B33" s="2">
        <v>0.71178047839506198</v>
      </c>
      <c r="C33" s="2">
        <v>0.71178047839506198</v>
      </c>
      <c r="D33" s="2">
        <v>0.71178047839506198</v>
      </c>
      <c r="E33" s="2">
        <v>0.71178047839506198</v>
      </c>
      <c r="F33" s="2">
        <v>0.71178047839506198</v>
      </c>
      <c r="G33" s="27">
        <v>0.711780169753087</v>
      </c>
      <c r="H33" s="2">
        <v>0.71174251543209899</v>
      </c>
      <c r="I33" s="2">
        <v>0.71089706790123497</v>
      </c>
    </row>
    <row r="34" spans="1:9" s="8" customFormat="1" x14ac:dyDescent="0.3">
      <c r="A34" s="7" t="s">
        <v>30</v>
      </c>
      <c r="B34" s="18">
        <v>0.69315787037037102</v>
      </c>
      <c r="C34" s="18">
        <v>0.69315787037037102</v>
      </c>
      <c r="D34" s="18">
        <v>0.69315787037037102</v>
      </c>
      <c r="E34" s="18">
        <v>0.69315787037037102</v>
      </c>
      <c r="F34" s="18">
        <v>0.69315787037037102</v>
      </c>
      <c r="G34" s="33">
        <v>0.69315787037037002</v>
      </c>
      <c r="H34" s="18">
        <v>0.69315787037037102</v>
      </c>
      <c r="I34" s="18">
        <v>0.69315787037037002</v>
      </c>
    </row>
    <row r="35" spans="1:9" x14ac:dyDescent="0.3">
      <c r="A35" s="1" t="s">
        <v>31</v>
      </c>
      <c r="B35" s="19">
        <v>0.62054868827160503</v>
      </c>
      <c r="C35" s="19">
        <v>0.62054868827160503</v>
      </c>
      <c r="D35" s="19">
        <v>0.62054868827160503</v>
      </c>
      <c r="E35" s="19">
        <v>0.62054868827160503</v>
      </c>
      <c r="F35" s="19">
        <v>0.62054868827160503</v>
      </c>
      <c r="G35" s="12">
        <v>0.62054868827160503</v>
      </c>
      <c r="H35" s="19">
        <v>0.62054868827160503</v>
      </c>
      <c r="I35" s="2">
        <v>0.62054868827160503</v>
      </c>
    </row>
    <row r="36" spans="1:9" s="13" customFormat="1" x14ac:dyDescent="0.3">
      <c r="A36" s="11" t="s">
        <v>68</v>
      </c>
      <c r="B36" s="12">
        <f>AVERAGE(B4:B35)</f>
        <v>0.7234692451131689</v>
      </c>
      <c r="C36" s="12">
        <f t="shared" ref="C36:I36" si="0">AVERAGE(C4:C35)</f>
        <v>0.72230533050411527</v>
      </c>
      <c r="D36" s="12">
        <f t="shared" si="0"/>
        <v>0.72041591435185204</v>
      </c>
      <c r="E36" s="12">
        <f t="shared" si="0"/>
        <v>0.71888236239711956</v>
      </c>
      <c r="F36" s="12">
        <f t="shared" si="0"/>
        <v>0.71651687242798368</v>
      </c>
      <c r="G36" s="12">
        <f t="shared" si="0"/>
        <v>0.71504032921810712</v>
      </c>
      <c r="H36" s="12">
        <f t="shared" si="0"/>
        <v>0.70947353395061752</v>
      </c>
      <c r="I36" s="12">
        <f t="shared" si="0"/>
        <v>0.70250936856995894</v>
      </c>
    </row>
    <row r="37" spans="1:9" x14ac:dyDescent="0.3">
      <c r="A37" s="11" t="s">
        <v>69</v>
      </c>
      <c r="B37" s="12">
        <f>MAX(B4,B20,B26:B35)</f>
        <v>0.74211296296296303</v>
      </c>
      <c r="C37" s="12">
        <f t="shared" ref="C37:I37" si="1">MAX(C4,C20,C26:C35)</f>
        <v>0.74053688271604901</v>
      </c>
      <c r="D37" s="12">
        <f t="shared" si="1"/>
        <v>0.73661396604938301</v>
      </c>
      <c r="E37" s="12">
        <f t="shared" si="1"/>
        <v>0.73496412037036996</v>
      </c>
      <c r="F37" s="12">
        <f t="shared" si="1"/>
        <v>0.73239791666666698</v>
      </c>
      <c r="G37" s="12">
        <f t="shared" si="1"/>
        <v>0.73096743827160504</v>
      </c>
      <c r="H37" s="12">
        <f t="shared" si="1"/>
        <v>0.72318402777777802</v>
      </c>
      <c r="I37" s="12">
        <f t="shared" si="1"/>
        <v>0.71423773148148195</v>
      </c>
    </row>
    <row r="38" spans="1:9" x14ac:dyDescent="0.3">
      <c r="A38" s="11" t="s">
        <v>70</v>
      </c>
      <c r="B38" s="27">
        <f>MIN(B4,B20,B26:B35)</f>
        <v>0.62054868827160503</v>
      </c>
      <c r="C38" s="27">
        <f t="shared" ref="C38:I38" si="2">MIN(C4,C20,C26:C35)</f>
        <v>0.62054868827160503</v>
      </c>
      <c r="D38" s="27">
        <f t="shared" si="2"/>
        <v>0.62054868827160503</v>
      </c>
      <c r="E38" s="27">
        <f t="shared" si="2"/>
        <v>0.62054868827160503</v>
      </c>
      <c r="F38" s="27">
        <f t="shared" si="2"/>
        <v>0.62054868827160503</v>
      </c>
      <c r="G38" s="27">
        <f t="shared" si="2"/>
        <v>0.62054868827160503</v>
      </c>
      <c r="H38" s="27">
        <f t="shared" si="2"/>
        <v>0.62054868827160503</v>
      </c>
      <c r="I38" s="27">
        <f t="shared" si="2"/>
        <v>0.62054868827160503</v>
      </c>
    </row>
    <row r="40" spans="1:9" x14ac:dyDescent="0.3">
      <c r="A40" s="38" t="s">
        <v>67</v>
      </c>
      <c r="B40" s="38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4" spans="1:9" x14ac:dyDescent="0.3">
      <c r="A44" s="1"/>
    </row>
    <row r="48" spans="1:9" x14ac:dyDescent="0.3">
      <c r="B48"/>
    </row>
  </sheetData>
  <mergeCells count="1">
    <mergeCell ref="A40:B4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E005-AA64-425F-8D5E-B6187264F142}">
  <dimension ref="A1:K48"/>
  <sheetViews>
    <sheetView topLeftCell="A22" workbookViewId="0">
      <selection activeCell="K23" sqref="K23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0.64541558641975305</v>
      </c>
      <c r="C2" s="20">
        <v>0.64541558641975305</v>
      </c>
      <c r="D2" s="20">
        <v>0.64541558641975305</v>
      </c>
      <c r="E2" s="20">
        <v>0.64541558641975305</v>
      </c>
      <c r="F2" s="20">
        <v>0.64541558641975305</v>
      </c>
      <c r="G2" s="29">
        <v>0.64541558641975305</v>
      </c>
      <c r="H2" s="20">
        <v>0.64541558641975305</v>
      </c>
      <c r="I2" s="20">
        <v>0.64541558641975305</v>
      </c>
      <c r="J2" s="14"/>
      <c r="K2" s="14"/>
    </row>
    <row r="3" spans="1:11" x14ac:dyDescent="0.3">
      <c r="A3" s="3" t="s">
        <v>33</v>
      </c>
      <c r="B3" s="21">
        <v>0.56067484567901205</v>
      </c>
      <c r="C3" s="21">
        <v>0.56067484567901205</v>
      </c>
      <c r="D3" s="21">
        <v>0.56067484567901205</v>
      </c>
      <c r="E3" s="21">
        <v>0.56067484567901205</v>
      </c>
      <c r="F3" s="21">
        <v>0.56067484567901205</v>
      </c>
      <c r="G3" s="30">
        <v>0.56067484567901205</v>
      </c>
      <c r="H3" s="21">
        <v>0.56067484567901205</v>
      </c>
      <c r="I3" s="21">
        <v>0.56067484567901205</v>
      </c>
      <c r="J3" s="15"/>
      <c r="K3" s="15"/>
    </row>
    <row r="4" spans="1:11" s="8" customFormat="1" x14ac:dyDescent="0.3">
      <c r="A4" s="10" t="s">
        <v>0</v>
      </c>
      <c r="B4" s="17">
        <v>0.72391033950617301</v>
      </c>
      <c r="C4" s="17">
        <v>0.72168479938271601</v>
      </c>
      <c r="D4" s="17">
        <v>0.71816844135802504</v>
      </c>
      <c r="E4" s="17">
        <v>0.71538912037036995</v>
      </c>
      <c r="F4" s="17">
        <v>0.710999537037037</v>
      </c>
      <c r="G4" s="31">
        <v>0.70843919753086404</v>
      </c>
      <c r="H4" s="17">
        <v>0.69943495370370401</v>
      </c>
      <c r="I4" s="17">
        <v>0.68867793209876604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0.72420200617284003</v>
      </c>
      <c r="C20" s="17">
        <v>0.72211828703703695</v>
      </c>
      <c r="D20" s="17">
        <v>0.718518518518519</v>
      </c>
      <c r="E20" s="17">
        <v>0.71562353395061695</v>
      </c>
      <c r="F20" s="17">
        <v>0.71131388888888902</v>
      </c>
      <c r="G20" s="31">
        <v>0.70879969135802501</v>
      </c>
      <c r="H20" s="17">
        <v>0.69965841049382704</v>
      </c>
      <c r="I20" s="17">
        <v>0.68942484567901197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0.72352692901234605</v>
      </c>
      <c r="C26" s="2">
        <v>0.72171913580246905</v>
      </c>
      <c r="D26" s="2">
        <v>0.71898263888888903</v>
      </c>
      <c r="E26" s="2">
        <v>0.71650825617283997</v>
      </c>
      <c r="F26" s="2">
        <v>0.71200432098765398</v>
      </c>
      <c r="G26" s="27">
        <v>0.70914691358024695</v>
      </c>
      <c r="H26" s="2">
        <v>0.70003055555555604</v>
      </c>
      <c r="I26" s="2">
        <v>0.68932530864197505</v>
      </c>
    </row>
    <row r="27" spans="1:9" x14ac:dyDescent="0.3">
      <c r="A27" s="1" t="s">
        <v>23</v>
      </c>
      <c r="B27" s="2">
        <v>0.72473842592592597</v>
      </c>
      <c r="C27" s="2">
        <v>0.72210154320987696</v>
      </c>
      <c r="D27" s="2">
        <v>0.71845578703703705</v>
      </c>
      <c r="E27" s="2">
        <v>0.71589452160493805</v>
      </c>
      <c r="F27" s="2">
        <v>0.71198425925925901</v>
      </c>
      <c r="G27" s="27">
        <v>0.70946620370370395</v>
      </c>
      <c r="H27" s="2">
        <v>0.69918904320987696</v>
      </c>
      <c r="I27" s="2">
        <v>0.68835092592592595</v>
      </c>
    </row>
    <row r="28" spans="1:9" s="8" customFormat="1" x14ac:dyDescent="0.3">
      <c r="A28" s="7" t="s">
        <v>24</v>
      </c>
      <c r="B28" s="17">
        <v>0.72518016975308597</v>
      </c>
      <c r="C28" s="17">
        <v>0.72287137345678998</v>
      </c>
      <c r="D28" s="17">
        <v>0.71836203703703705</v>
      </c>
      <c r="E28" s="17">
        <v>0.71472361111111105</v>
      </c>
      <c r="F28" s="17">
        <v>0.709737808641975</v>
      </c>
      <c r="G28" s="31">
        <v>0.70730979938271599</v>
      </c>
      <c r="H28" s="17">
        <v>0.70037229938271595</v>
      </c>
      <c r="I28" s="9">
        <v>0.69106520061728405</v>
      </c>
    </row>
    <row r="29" spans="1:9" x14ac:dyDescent="0.3">
      <c r="A29" s="1" t="s">
        <v>25</v>
      </c>
      <c r="B29" s="2">
        <v>0.722019367283951</v>
      </c>
      <c r="C29" s="2">
        <v>0.72051211419753103</v>
      </c>
      <c r="D29" s="2">
        <v>0.71846720679012399</v>
      </c>
      <c r="E29" s="6">
        <v>0.716795370370371</v>
      </c>
      <c r="F29" s="6">
        <v>0.71322175925925901</v>
      </c>
      <c r="G29" s="35">
        <v>0.71048256172839497</v>
      </c>
      <c r="H29" s="2">
        <v>0.699267206790123</v>
      </c>
      <c r="I29" s="2">
        <v>0.68919104938271603</v>
      </c>
    </row>
    <row r="30" spans="1:9" x14ac:dyDescent="0.3">
      <c r="A30" s="1" t="s">
        <v>26</v>
      </c>
      <c r="B30" s="2">
        <v>0.72408726851851801</v>
      </c>
      <c r="C30" s="2">
        <v>0.72076998456790098</v>
      </c>
      <c r="D30" s="2">
        <v>0.71649274691358</v>
      </c>
      <c r="E30" s="2">
        <v>0.71390609567901198</v>
      </c>
      <c r="F30" s="2">
        <v>0.71083811728395097</v>
      </c>
      <c r="G30" s="27">
        <v>0.70923055555555603</v>
      </c>
      <c r="H30" s="6">
        <v>0.70199436728395104</v>
      </c>
      <c r="I30" s="2">
        <v>0.68810941358024702</v>
      </c>
    </row>
    <row r="31" spans="1:9" x14ac:dyDescent="0.3">
      <c r="A31" s="1" t="s">
        <v>27</v>
      </c>
      <c r="B31" s="2">
        <v>0.72667854938271603</v>
      </c>
      <c r="C31" s="6">
        <v>0.72460115740740705</v>
      </c>
      <c r="D31" s="6">
        <v>0.71944737654321</v>
      </c>
      <c r="E31" s="2">
        <v>0.71424336419753098</v>
      </c>
      <c r="F31" s="2">
        <v>0.70621589506172799</v>
      </c>
      <c r="G31" s="27">
        <v>0.70209444444444502</v>
      </c>
      <c r="H31" s="2">
        <v>0.69192993827160498</v>
      </c>
      <c r="I31" s="2">
        <v>0.68559297839506195</v>
      </c>
    </row>
    <row r="32" spans="1:9" s="8" customFormat="1" x14ac:dyDescent="0.3">
      <c r="A32" s="7" t="s">
        <v>28</v>
      </c>
      <c r="B32" s="17">
        <v>0.72667854938271603</v>
      </c>
      <c r="C32" s="17">
        <v>0.71088966049382696</v>
      </c>
      <c r="D32" s="17">
        <v>0.71088811728395096</v>
      </c>
      <c r="E32" s="17">
        <v>0.71081813271604899</v>
      </c>
      <c r="F32" s="17">
        <v>0.71033140432098796</v>
      </c>
      <c r="G32" s="31">
        <v>0.70949884259259299</v>
      </c>
      <c r="H32" s="17">
        <v>0.70100439814814797</v>
      </c>
      <c r="I32" s="17">
        <v>0.68459020061728404</v>
      </c>
    </row>
    <row r="33" spans="1:9" x14ac:dyDescent="0.3">
      <c r="A33" s="1" t="s">
        <v>29</v>
      </c>
      <c r="B33" s="2">
        <v>0.68615030864197502</v>
      </c>
      <c r="C33" s="2">
        <v>0.68615030864197502</v>
      </c>
      <c r="D33" s="2">
        <v>0.68615030864197502</v>
      </c>
      <c r="E33" s="2">
        <v>0.68615030864197502</v>
      </c>
      <c r="F33" s="2">
        <v>0.68615030864197502</v>
      </c>
      <c r="G33" s="27">
        <v>0.68615000000000004</v>
      </c>
      <c r="H33" s="2">
        <v>0.686130864197531</v>
      </c>
      <c r="I33" s="2">
        <v>0.68544722222222199</v>
      </c>
    </row>
    <row r="34" spans="1:9" s="8" customFormat="1" x14ac:dyDescent="0.3">
      <c r="A34" s="7" t="s">
        <v>30</v>
      </c>
      <c r="B34" s="18">
        <v>0.65968919753086397</v>
      </c>
      <c r="C34" s="18">
        <v>0.65968919753086397</v>
      </c>
      <c r="D34" s="18">
        <v>0.65968919753086397</v>
      </c>
      <c r="E34" s="18">
        <v>0.65968919753086397</v>
      </c>
      <c r="F34" s="18">
        <v>0.65968919753086397</v>
      </c>
      <c r="G34" s="33">
        <v>0.65968919753086397</v>
      </c>
      <c r="H34" s="18">
        <v>0.65968919753086397</v>
      </c>
      <c r="I34" s="18">
        <v>0.65968919753086397</v>
      </c>
    </row>
    <row r="35" spans="1:9" x14ac:dyDescent="0.3">
      <c r="A35" s="1" t="s">
        <v>31</v>
      </c>
      <c r="B35" s="19">
        <v>0.56234969135802504</v>
      </c>
      <c r="C35" s="19">
        <v>0.56234969135802504</v>
      </c>
      <c r="D35" s="19">
        <v>0.56234969135802504</v>
      </c>
      <c r="E35" s="19">
        <v>0.56234969135802504</v>
      </c>
      <c r="F35" s="19">
        <v>0.56234969135802504</v>
      </c>
      <c r="G35" s="12">
        <v>0.56234969135802504</v>
      </c>
      <c r="H35" s="19">
        <v>0.56234969135802504</v>
      </c>
      <c r="I35" s="2">
        <v>0.56234969135802504</v>
      </c>
    </row>
    <row r="36" spans="1:9" s="13" customFormat="1" x14ac:dyDescent="0.3">
      <c r="A36" s="11" t="s">
        <v>68</v>
      </c>
      <c r="B36" s="12">
        <f>AVERAGE(B4:B35)</f>
        <v>0.70243423353909462</v>
      </c>
      <c r="C36" s="12">
        <f t="shared" ref="C36:I36" si="0">AVERAGE(C4:C35)</f>
        <v>0.69962143775720154</v>
      </c>
      <c r="D36" s="12">
        <f t="shared" si="0"/>
        <v>0.69716433899176966</v>
      </c>
      <c r="E36" s="12">
        <f t="shared" si="0"/>
        <v>0.6951742669753086</v>
      </c>
      <c r="F36" s="12">
        <f t="shared" si="0"/>
        <v>0.692069682355967</v>
      </c>
      <c r="G36" s="12">
        <f t="shared" si="0"/>
        <v>0.69022142489711946</v>
      </c>
      <c r="H36" s="12">
        <f t="shared" si="0"/>
        <v>0.68342091049382725</v>
      </c>
      <c r="I36" s="12">
        <f t="shared" si="0"/>
        <v>0.67515116383744855</v>
      </c>
    </row>
    <row r="37" spans="1:9" x14ac:dyDescent="0.3">
      <c r="A37" s="11" t="s">
        <v>69</v>
      </c>
      <c r="B37" s="12">
        <f>MAX(B4,B20,B26:B35)</f>
        <v>0.72667854938271603</v>
      </c>
      <c r="C37" s="12">
        <f t="shared" ref="C37:I37" si="1">MAX(C4,C20,C26:C35)</f>
        <v>0.72460115740740705</v>
      </c>
      <c r="D37" s="12">
        <f t="shared" si="1"/>
        <v>0.71944737654321</v>
      </c>
      <c r="E37" s="12">
        <f t="shared" si="1"/>
        <v>0.716795370370371</v>
      </c>
      <c r="F37" s="12">
        <f t="shared" si="1"/>
        <v>0.71322175925925901</v>
      </c>
      <c r="G37" s="12">
        <f t="shared" si="1"/>
        <v>0.71048256172839497</v>
      </c>
      <c r="H37" s="12">
        <f t="shared" si="1"/>
        <v>0.70199436728395104</v>
      </c>
      <c r="I37" s="12">
        <f t="shared" si="1"/>
        <v>0.69106520061728405</v>
      </c>
    </row>
    <row r="38" spans="1:9" x14ac:dyDescent="0.3">
      <c r="A38" s="11" t="s">
        <v>70</v>
      </c>
      <c r="B38" s="27">
        <f>MIN(B4,B20,B26:B35)</f>
        <v>0.56234969135802504</v>
      </c>
      <c r="C38" s="27">
        <f t="shared" ref="C38:I38" si="2">MIN(C4,C20,C26:C35)</f>
        <v>0.56234969135802504</v>
      </c>
      <c r="D38" s="27">
        <f t="shared" si="2"/>
        <v>0.56234969135802504</v>
      </c>
      <c r="E38" s="27">
        <f t="shared" si="2"/>
        <v>0.56234969135802504</v>
      </c>
      <c r="F38" s="27">
        <f t="shared" si="2"/>
        <v>0.56234969135802504</v>
      </c>
      <c r="G38" s="27">
        <f t="shared" si="2"/>
        <v>0.56234969135802504</v>
      </c>
      <c r="H38" s="27">
        <f t="shared" si="2"/>
        <v>0.56234969135802504</v>
      </c>
      <c r="I38" s="27">
        <f t="shared" si="2"/>
        <v>0.56234969135802504</v>
      </c>
    </row>
    <row r="40" spans="1:9" x14ac:dyDescent="0.3">
      <c r="A40" s="38" t="s">
        <v>67</v>
      </c>
      <c r="B40" s="38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4" spans="1:9" x14ac:dyDescent="0.3">
      <c r="A44" s="1"/>
    </row>
    <row r="48" spans="1:9" x14ac:dyDescent="0.3">
      <c r="B48"/>
    </row>
  </sheetData>
  <mergeCells count="1">
    <mergeCell ref="A40:B4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15E4-CB4B-4328-8F79-0AB8A451CB0C}">
  <dimension ref="A1:K48"/>
  <sheetViews>
    <sheetView topLeftCell="A19" workbookViewId="0">
      <selection activeCell="A37" sqref="A37:I38"/>
    </sheetView>
  </sheetViews>
  <sheetFormatPr defaultRowHeight="14" x14ac:dyDescent="0.3"/>
  <cols>
    <col min="1" max="1" width="13.33203125" customWidth="1"/>
    <col min="2" max="3" width="8.6640625" style="2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16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0.61219567901234495</v>
      </c>
      <c r="C2" s="20">
        <v>0.61219567901234495</v>
      </c>
      <c r="D2" s="20">
        <v>0.61219567901234495</v>
      </c>
      <c r="E2" s="20">
        <v>0.61219567901234495</v>
      </c>
      <c r="F2" s="20">
        <v>0.61219567901234495</v>
      </c>
      <c r="G2" s="20">
        <v>0.61219567901234495</v>
      </c>
      <c r="H2" s="20">
        <v>0.61219567901234495</v>
      </c>
      <c r="I2" s="20">
        <v>0.61219567901234495</v>
      </c>
      <c r="J2" s="14"/>
      <c r="K2" s="14"/>
    </row>
    <row r="3" spans="1:11" x14ac:dyDescent="0.3">
      <c r="A3" s="3" t="s">
        <v>33</v>
      </c>
      <c r="B3" s="21">
        <v>0.51451118827160403</v>
      </c>
      <c r="C3" s="21">
        <v>0.51451118827160403</v>
      </c>
      <c r="D3" s="21">
        <v>0.51451118827160403</v>
      </c>
      <c r="E3" s="21">
        <v>0.51451118827160403</v>
      </c>
      <c r="F3" s="21">
        <v>0.51451118827160403</v>
      </c>
      <c r="G3" s="21">
        <v>0.51451118827160403</v>
      </c>
      <c r="H3" s="21">
        <v>0.51451118827160403</v>
      </c>
      <c r="I3" s="21">
        <v>0.51451118827160403</v>
      </c>
      <c r="J3" s="15"/>
      <c r="K3" s="15"/>
    </row>
    <row r="4" spans="1:11" s="8" customFormat="1" x14ac:dyDescent="0.3">
      <c r="A4" s="10" t="s">
        <v>0</v>
      </c>
      <c r="B4" s="17">
        <v>0.69458325617284</v>
      </c>
      <c r="C4" s="17">
        <v>0.69133240740740698</v>
      </c>
      <c r="D4" s="17">
        <v>0.68647962962963005</v>
      </c>
      <c r="E4" s="17">
        <v>0.68261712962962995</v>
      </c>
      <c r="F4" s="17">
        <v>0.67631466049382705</v>
      </c>
      <c r="G4" s="17">
        <v>0.67254112654320997</v>
      </c>
      <c r="H4" s="17">
        <v>0.66026581790123495</v>
      </c>
      <c r="I4" s="17">
        <v>0.64648094135802503</v>
      </c>
    </row>
    <row r="5" spans="1:11" x14ac:dyDescent="0.3">
      <c r="A5" s="1" t="s">
        <v>1</v>
      </c>
      <c r="D5" s="2"/>
      <c r="E5" s="2"/>
      <c r="F5" s="2"/>
      <c r="G5" s="2"/>
      <c r="H5" s="2"/>
    </row>
    <row r="6" spans="1:11" x14ac:dyDescent="0.3">
      <c r="A6" s="1" t="s">
        <v>2</v>
      </c>
      <c r="D6" s="2"/>
      <c r="E6" s="2"/>
      <c r="F6" s="2"/>
      <c r="G6" s="2"/>
      <c r="H6" s="2"/>
    </row>
    <row r="7" spans="1:11" x14ac:dyDescent="0.3">
      <c r="A7" s="1" t="s">
        <v>3</v>
      </c>
      <c r="D7" s="2"/>
      <c r="E7" s="2"/>
      <c r="F7" s="2"/>
      <c r="G7" s="2"/>
      <c r="H7" s="2"/>
    </row>
    <row r="8" spans="1:11" x14ac:dyDescent="0.3">
      <c r="A8" s="1" t="s">
        <v>4</v>
      </c>
      <c r="D8" s="2"/>
      <c r="E8" s="2"/>
      <c r="F8" s="2"/>
      <c r="G8" s="2"/>
      <c r="H8" s="2"/>
    </row>
    <row r="9" spans="1:11" x14ac:dyDescent="0.3">
      <c r="A9" s="1" t="s">
        <v>5</v>
      </c>
      <c r="D9" s="2"/>
      <c r="E9" s="2"/>
      <c r="F9" s="2"/>
      <c r="G9" s="2"/>
      <c r="H9" s="2"/>
    </row>
    <row r="10" spans="1:11" x14ac:dyDescent="0.3">
      <c r="A10" s="1" t="s">
        <v>6</v>
      </c>
      <c r="D10" s="2"/>
      <c r="E10" s="2"/>
      <c r="F10" s="2"/>
      <c r="G10" s="2"/>
      <c r="H10" s="2"/>
    </row>
    <row r="11" spans="1:11" x14ac:dyDescent="0.3">
      <c r="A11" s="1" t="s">
        <v>7</v>
      </c>
      <c r="D11" s="2"/>
      <c r="E11" s="2"/>
      <c r="F11" s="2"/>
      <c r="G11" s="2"/>
      <c r="H11" s="2"/>
    </row>
    <row r="12" spans="1:11" x14ac:dyDescent="0.3">
      <c r="A12" s="1" t="s">
        <v>8</v>
      </c>
      <c r="D12" s="2"/>
      <c r="E12" s="2"/>
      <c r="F12" s="2"/>
      <c r="G12" s="2"/>
      <c r="H12" s="2"/>
    </row>
    <row r="13" spans="1:11" x14ac:dyDescent="0.3">
      <c r="A13" s="1" t="s">
        <v>9</v>
      </c>
      <c r="D13" s="2"/>
      <c r="E13" s="2"/>
      <c r="F13" s="2"/>
      <c r="G13" s="2"/>
      <c r="H13" s="2"/>
    </row>
    <row r="14" spans="1:11" x14ac:dyDescent="0.3">
      <c r="A14" s="1" t="s">
        <v>10</v>
      </c>
      <c r="D14" s="2"/>
      <c r="E14" s="2"/>
      <c r="F14" s="2"/>
      <c r="G14" s="2"/>
      <c r="H14" s="2"/>
    </row>
    <row r="15" spans="1:11" x14ac:dyDescent="0.3">
      <c r="A15" s="1" t="s">
        <v>11</v>
      </c>
      <c r="D15" s="2"/>
      <c r="E15" s="2"/>
      <c r="F15" s="2"/>
      <c r="G15" s="2"/>
      <c r="H15" s="2"/>
    </row>
    <row r="16" spans="1:11" x14ac:dyDescent="0.3">
      <c r="A16" s="1" t="s">
        <v>12</v>
      </c>
      <c r="D16" s="2"/>
      <c r="E16" s="2"/>
      <c r="F16" s="2"/>
      <c r="G16" s="2"/>
      <c r="H16" s="2"/>
    </row>
    <row r="17" spans="1:9" x14ac:dyDescent="0.3">
      <c r="A17" s="1" t="s">
        <v>13</v>
      </c>
      <c r="D17" s="2"/>
      <c r="E17" s="2"/>
      <c r="F17" s="2"/>
      <c r="G17" s="2"/>
      <c r="H17" s="2"/>
    </row>
    <row r="18" spans="1:9" x14ac:dyDescent="0.3">
      <c r="A18" s="1" t="s">
        <v>14</v>
      </c>
      <c r="D18" s="2"/>
      <c r="E18" s="2"/>
      <c r="F18" s="2"/>
      <c r="G18" s="2"/>
      <c r="H18" s="2"/>
    </row>
    <row r="19" spans="1:9" x14ac:dyDescent="0.3">
      <c r="A19" s="1" t="s">
        <v>15</v>
      </c>
      <c r="D19" s="2"/>
      <c r="E19" s="2"/>
      <c r="F19" s="2"/>
      <c r="G19" s="2"/>
      <c r="H19" s="2"/>
    </row>
    <row r="20" spans="1:9" s="8" customFormat="1" x14ac:dyDescent="0.3">
      <c r="A20" s="7" t="s">
        <v>16</v>
      </c>
      <c r="B20" s="17">
        <v>0.697332175925926</v>
      </c>
      <c r="C20" s="17">
        <v>0.69300486111111104</v>
      </c>
      <c r="D20" s="17">
        <v>0.68684135802469204</v>
      </c>
      <c r="E20" s="17">
        <v>0.68300648148148202</v>
      </c>
      <c r="F20" s="17">
        <v>0.67806412037037</v>
      </c>
      <c r="G20" s="17">
        <v>0.67510285493827205</v>
      </c>
      <c r="H20" s="17">
        <v>0.66239375</v>
      </c>
      <c r="I20" s="17">
        <v>0.64811435185185196</v>
      </c>
    </row>
    <row r="21" spans="1:9" x14ac:dyDescent="0.3">
      <c r="A21" s="1" t="s">
        <v>17</v>
      </c>
      <c r="D21" s="2"/>
      <c r="E21" s="2"/>
      <c r="F21" s="2"/>
      <c r="G21" s="2"/>
      <c r="H21" s="2"/>
    </row>
    <row r="22" spans="1:9" x14ac:dyDescent="0.3">
      <c r="A22" s="1" t="s">
        <v>18</v>
      </c>
      <c r="D22" s="2"/>
      <c r="E22" s="2"/>
      <c r="F22" s="2"/>
      <c r="G22" s="2"/>
      <c r="H22" s="2"/>
    </row>
    <row r="23" spans="1:9" x14ac:dyDescent="0.3">
      <c r="A23" s="1" t="s">
        <v>19</v>
      </c>
      <c r="D23" s="2"/>
      <c r="E23" s="2"/>
      <c r="F23" s="2"/>
      <c r="G23" s="2"/>
      <c r="H23" s="2"/>
    </row>
    <row r="24" spans="1:9" x14ac:dyDescent="0.3">
      <c r="A24" s="1" t="s">
        <v>20</v>
      </c>
      <c r="D24" s="2"/>
      <c r="E24" s="2"/>
      <c r="F24" s="2"/>
      <c r="G24" s="2"/>
      <c r="H24" s="2"/>
    </row>
    <row r="25" spans="1:9" x14ac:dyDescent="0.3">
      <c r="A25" s="1" t="s">
        <v>21</v>
      </c>
      <c r="D25" s="2"/>
      <c r="E25" s="2"/>
      <c r="F25" s="2"/>
      <c r="G25" s="2"/>
      <c r="H25" s="2"/>
      <c r="I25" s="2"/>
    </row>
    <row r="26" spans="1:9" x14ac:dyDescent="0.3">
      <c r="A26" s="1" t="s">
        <v>22</v>
      </c>
      <c r="B26" s="2">
        <v>0.69777361111111103</v>
      </c>
      <c r="C26" s="2">
        <v>0.69345848765432105</v>
      </c>
      <c r="D26" s="2">
        <v>0.68827847222222205</v>
      </c>
      <c r="E26" s="2">
        <v>0.68532785493827197</v>
      </c>
      <c r="F26" s="2">
        <v>0.681015817901235</v>
      </c>
      <c r="G26" s="2">
        <v>0.67787584876543205</v>
      </c>
      <c r="H26" s="2">
        <v>0.66305740740740704</v>
      </c>
      <c r="I26" s="2">
        <v>0.64771666666666705</v>
      </c>
    </row>
    <row r="27" spans="1:9" x14ac:dyDescent="0.3">
      <c r="A27" s="1" t="s">
        <v>23</v>
      </c>
      <c r="B27" s="2">
        <v>0.70059814814814803</v>
      </c>
      <c r="C27" s="2">
        <v>0.697646836419753</v>
      </c>
      <c r="D27" s="2">
        <v>0.69130748456790103</v>
      </c>
      <c r="E27" s="2">
        <v>0.68570208333333305</v>
      </c>
      <c r="F27" s="2">
        <v>0.67765825617284003</v>
      </c>
      <c r="G27" s="2">
        <v>0.673775154320988</v>
      </c>
      <c r="H27" s="2">
        <v>0.66442145061728397</v>
      </c>
      <c r="I27" s="2">
        <v>0.65240856481481502</v>
      </c>
    </row>
    <row r="28" spans="1:9" s="8" customFormat="1" x14ac:dyDescent="0.3">
      <c r="A28" s="7" t="s">
        <v>24</v>
      </c>
      <c r="B28" s="17">
        <v>0.69662677469135803</v>
      </c>
      <c r="C28" s="17">
        <v>0.69314938271604898</v>
      </c>
      <c r="D28" s="17">
        <v>0.68932785493827198</v>
      </c>
      <c r="E28" s="17">
        <v>0.68712283950617303</v>
      </c>
      <c r="F28" s="17">
        <v>0.68317021604938299</v>
      </c>
      <c r="G28" s="17">
        <v>0.67986242283950604</v>
      </c>
      <c r="H28" s="17">
        <v>0.66371319444444399</v>
      </c>
      <c r="I28" s="17">
        <v>0.64635864197530901</v>
      </c>
    </row>
    <row r="29" spans="1:9" x14ac:dyDescent="0.3">
      <c r="A29" s="1" t="s">
        <v>25</v>
      </c>
      <c r="B29" s="6">
        <v>0.70280725308642</v>
      </c>
      <c r="C29" s="6">
        <v>0.69829884259259301</v>
      </c>
      <c r="D29" s="2">
        <v>0.69000787037037103</v>
      </c>
      <c r="E29" s="2">
        <v>0.68380115740740699</v>
      </c>
      <c r="F29" s="2">
        <v>0.67586311728395099</v>
      </c>
      <c r="G29" s="2">
        <v>0.672204783950617</v>
      </c>
      <c r="H29" s="2">
        <v>0.66419274691357999</v>
      </c>
      <c r="I29" s="2">
        <v>0.65456566358024704</v>
      </c>
    </row>
    <row r="30" spans="1:9" x14ac:dyDescent="0.3">
      <c r="A30" s="1" t="s">
        <v>26</v>
      </c>
      <c r="B30" s="2">
        <v>0.69443942901234601</v>
      </c>
      <c r="C30" s="2">
        <v>0.69250393518518505</v>
      </c>
      <c r="D30" s="6">
        <v>0.69060509259259295</v>
      </c>
      <c r="E30" s="2">
        <v>0.68930162037037002</v>
      </c>
      <c r="F30" s="6">
        <v>0.68579174382716102</v>
      </c>
      <c r="G30" s="22">
        <v>0.68224799382716095</v>
      </c>
      <c r="H30" s="2">
        <v>0.66375740740740696</v>
      </c>
      <c r="I30" s="2">
        <v>0.64415015432098799</v>
      </c>
    </row>
    <row r="31" spans="1:9" x14ac:dyDescent="0.3">
      <c r="A31" s="1" t="s">
        <v>27</v>
      </c>
      <c r="B31" s="2">
        <v>0.69948171296296302</v>
      </c>
      <c r="C31" s="2">
        <v>0.69215871913580296</v>
      </c>
      <c r="D31" s="2">
        <v>0.68244652777777803</v>
      </c>
      <c r="E31" s="2">
        <v>0.67653904320987701</v>
      </c>
      <c r="F31" s="2">
        <v>0.66981319444444398</v>
      </c>
      <c r="G31" s="2">
        <v>0.66693819444444502</v>
      </c>
      <c r="H31" s="2">
        <v>0.66109344135802495</v>
      </c>
      <c r="I31" s="2">
        <v>0.65297546296296305</v>
      </c>
    </row>
    <row r="32" spans="1:9" s="8" customFormat="1" x14ac:dyDescent="0.3">
      <c r="A32" s="7" t="s">
        <v>28</v>
      </c>
      <c r="B32" s="24">
        <v>0.69115671296296299</v>
      </c>
      <c r="C32" s="17">
        <v>0.69130925925925901</v>
      </c>
      <c r="D32" s="17">
        <v>0.69089969135802498</v>
      </c>
      <c r="E32" s="9">
        <v>0.68895756172839495</v>
      </c>
      <c r="F32" s="17">
        <v>0.68227330246913598</v>
      </c>
      <c r="G32" s="17">
        <v>0.67670632716049395</v>
      </c>
      <c r="H32" s="17">
        <v>0.65699837962963004</v>
      </c>
      <c r="I32" s="17">
        <v>0.64124058641975301</v>
      </c>
    </row>
    <row r="33" spans="1:9" x14ac:dyDescent="0.3">
      <c r="A33" s="1" t="s">
        <v>29</v>
      </c>
      <c r="B33" s="2">
        <v>0.66680871913580297</v>
      </c>
      <c r="C33" s="2">
        <v>0.66680871913580297</v>
      </c>
      <c r="D33" s="2">
        <v>0.66680856481481499</v>
      </c>
      <c r="E33" s="2">
        <v>0.66680848765432099</v>
      </c>
      <c r="F33" s="2">
        <v>0.66681265432098802</v>
      </c>
      <c r="G33" s="2">
        <v>0.66680694444444399</v>
      </c>
      <c r="H33" s="6">
        <v>0.66612824074074095</v>
      </c>
      <c r="I33" s="6">
        <v>0.65652268518518497</v>
      </c>
    </row>
    <row r="34" spans="1:9" s="8" customFormat="1" x14ac:dyDescent="0.3">
      <c r="A34" s="7" t="s">
        <v>30</v>
      </c>
      <c r="B34" s="18">
        <v>0.62269837962963004</v>
      </c>
      <c r="C34" s="18">
        <v>0.62269837962963004</v>
      </c>
      <c r="D34" s="18">
        <v>0.62269837962963004</v>
      </c>
      <c r="E34" s="18">
        <v>0.62269837962963004</v>
      </c>
      <c r="F34" s="18">
        <v>0.62269837962963004</v>
      </c>
      <c r="G34" s="18">
        <v>0.62269837962963004</v>
      </c>
      <c r="H34" s="18">
        <v>0.62269837962963004</v>
      </c>
      <c r="I34" s="18">
        <v>0.62269837962963004</v>
      </c>
    </row>
    <row r="35" spans="1:9" x14ac:dyDescent="0.3">
      <c r="A35" s="1" t="s">
        <v>31</v>
      </c>
      <c r="B35" s="23">
        <v>0.51476875</v>
      </c>
      <c r="C35" s="19">
        <v>0.51476875</v>
      </c>
      <c r="D35" s="19">
        <v>0.51476875</v>
      </c>
      <c r="E35" s="19">
        <v>0.51476875</v>
      </c>
      <c r="F35" s="19">
        <v>0.51476875</v>
      </c>
      <c r="G35" s="19">
        <v>0.51476875</v>
      </c>
      <c r="H35" s="19">
        <v>0.51476875</v>
      </c>
      <c r="I35" s="2">
        <v>0.51476875</v>
      </c>
    </row>
    <row r="36" spans="1:9" s="13" customFormat="1" x14ac:dyDescent="0.3">
      <c r="A36" s="11" t="s">
        <v>68</v>
      </c>
      <c r="B36" s="12">
        <f>AVERAGE(B4:B35)</f>
        <v>0.67325624356995883</v>
      </c>
      <c r="C36" s="12">
        <f t="shared" ref="C36:I36" si="0">AVERAGE(C4:C35)</f>
        <v>0.67059488168724279</v>
      </c>
      <c r="D36" s="12">
        <f t="shared" si="0"/>
        <v>0.66670580632716059</v>
      </c>
      <c r="E36" s="12">
        <f t="shared" si="0"/>
        <v>0.66388761574074073</v>
      </c>
      <c r="F36" s="12">
        <f t="shared" si="0"/>
        <v>0.65952035108024709</v>
      </c>
      <c r="G36" s="12">
        <f t="shared" si="0"/>
        <v>0.65679406507201654</v>
      </c>
      <c r="H36" s="12">
        <f t="shared" si="0"/>
        <v>0.64695741383744843</v>
      </c>
      <c r="I36" s="12">
        <f t="shared" si="0"/>
        <v>0.63566673739711943</v>
      </c>
    </row>
    <row r="37" spans="1:9" x14ac:dyDescent="0.3">
      <c r="A37" s="11" t="s">
        <v>69</v>
      </c>
      <c r="B37" s="12">
        <f>MAX(B4,B20,B26:B35)</f>
        <v>0.70280725308642</v>
      </c>
      <c r="C37" s="12">
        <f t="shared" ref="C37:I37" si="1">MAX(C4,C20,C26:C35)</f>
        <v>0.69829884259259301</v>
      </c>
      <c r="D37" s="12">
        <f t="shared" si="1"/>
        <v>0.69130748456790103</v>
      </c>
      <c r="E37" s="12">
        <f t="shared" si="1"/>
        <v>0.68930162037037002</v>
      </c>
      <c r="F37" s="12">
        <f t="shared" si="1"/>
        <v>0.68579174382716102</v>
      </c>
      <c r="G37" s="12">
        <f t="shared" si="1"/>
        <v>0.68224799382716095</v>
      </c>
      <c r="H37" s="12">
        <f t="shared" si="1"/>
        <v>0.66612824074074095</v>
      </c>
      <c r="I37" s="12">
        <f t="shared" si="1"/>
        <v>0.65652268518518497</v>
      </c>
    </row>
    <row r="38" spans="1:9" x14ac:dyDescent="0.3">
      <c r="A38" s="11" t="s">
        <v>70</v>
      </c>
      <c r="B38" s="27">
        <f>MIN(B4,B20,B26:B35)</f>
        <v>0.51476875</v>
      </c>
      <c r="C38" s="27">
        <f t="shared" ref="C38:I38" si="2">MIN(C4,C20,C26:C35)</f>
        <v>0.51476875</v>
      </c>
      <c r="D38" s="27">
        <f t="shared" si="2"/>
        <v>0.51476875</v>
      </c>
      <c r="E38" s="27">
        <f t="shared" si="2"/>
        <v>0.51476875</v>
      </c>
      <c r="F38" s="27">
        <f t="shared" si="2"/>
        <v>0.51476875</v>
      </c>
      <c r="G38" s="27">
        <f t="shared" si="2"/>
        <v>0.51476875</v>
      </c>
      <c r="H38" s="27">
        <f t="shared" si="2"/>
        <v>0.51476875</v>
      </c>
      <c r="I38" s="27">
        <f t="shared" si="2"/>
        <v>0.51476875</v>
      </c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4" spans="1:9" x14ac:dyDescent="0.3">
      <c r="A44" s="1"/>
    </row>
    <row r="47" spans="1:9" x14ac:dyDescent="0.3">
      <c r="A47" s="38" t="s">
        <v>67</v>
      </c>
      <c r="B47" s="38"/>
    </row>
    <row r="48" spans="1:9" x14ac:dyDescent="0.3">
      <c r="B48"/>
    </row>
  </sheetData>
  <mergeCells count="1">
    <mergeCell ref="A47:B47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0C2F-1D1F-4C2C-956C-8DDCEC2C4EA7}">
  <dimension ref="A1:K46"/>
  <sheetViews>
    <sheetView topLeftCell="A14" workbookViewId="0">
      <selection activeCell="E24" sqref="E24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0.60984390432098701</v>
      </c>
      <c r="C2" s="20">
        <v>0.60984390432098701</v>
      </c>
      <c r="D2" s="20">
        <v>0.60984390432098701</v>
      </c>
      <c r="E2" s="20">
        <v>0.60984390432098701</v>
      </c>
      <c r="F2" s="20">
        <v>0.60984390432098701</v>
      </c>
      <c r="G2" s="29">
        <v>0.60984390432098701</v>
      </c>
      <c r="H2" s="20">
        <v>0.60984390432098701</v>
      </c>
      <c r="I2" s="20">
        <v>0.60984390432098701</v>
      </c>
      <c r="J2" s="14"/>
      <c r="K2" s="14"/>
    </row>
    <row r="3" spans="1:11" x14ac:dyDescent="0.3">
      <c r="A3" s="3" t="s">
        <v>33</v>
      </c>
      <c r="B3" s="21">
        <v>0.51208611111111102</v>
      </c>
      <c r="C3" s="21">
        <v>0.51208611111111102</v>
      </c>
      <c r="D3" s="21">
        <v>0.51208611111111102</v>
      </c>
      <c r="E3" s="21">
        <v>0.51208611111111102</v>
      </c>
      <c r="F3" s="21">
        <v>0.51208611111111102</v>
      </c>
      <c r="G3" s="30">
        <v>0.51208611111111102</v>
      </c>
      <c r="H3" s="21">
        <v>0.51208611111111102</v>
      </c>
      <c r="I3" s="21">
        <v>0.51208611111111102</v>
      </c>
      <c r="J3" s="15"/>
      <c r="K3" s="15"/>
    </row>
    <row r="4" spans="1:11" s="8" customFormat="1" x14ac:dyDescent="0.3">
      <c r="A4" s="10" t="s">
        <v>0</v>
      </c>
      <c r="B4" s="17">
        <v>0.70278333333333298</v>
      </c>
      <c r="C4" s="17">
        <v>0.70051280864197496</v>
      </c>
      <c r="D4" s="17">
        <v>0.69689174382716101</v>
      </c>
      <c r="E4" s="17">
        <v>0.69542283950617301</v>
      </c>
      <c r="F4" s="17">
        <v>0.68960601851851799</v>
      </c>
      <c r="G4" s="31">
        <v>0.68690131172839497</v>
      </c>
      <c r="H4" s="17">
        <v>0.67726087962963</v>
      </c>
      <c r="I4" s="17">
        <v>0.66551658950617298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0.70399158950617302</v>
      </c>
      <c r="C20" s="17">
        <v>0.70175532407407404</v>
      </c>
      <c r="D20" s="17">
        <v>0.69821975308642004</v>
      </c>
      <c r="E20" s="17">
        <v>0.69542283950617301</v>
      </c>
      <c r="F20" s="17">
        <v>0.69094297839506202</v>
      </c>
      <c r="G20" s="31">
        <v>0.68820756172839503</v>
      </c>
      <c r="H20" s="17">
        <v>0.67875609567901196</v>
      </c>
      <c r="I20" s="17">
        <v>0.66720300925925902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0.70396898148148102</v>
      </c>
      <c r="C26" s="2">
        <v>0.701662037037037</v>
      </c>
      <c r="D26" s="2">
        <v>0.69834104938271602</v>
      </c>
      <c r="E26" s="2">
        <v>0.69579729938271595</v>
      </c>
      <c r="F26" s="2">
        <v>0.69155555555555603</v>
      </c>
      <c r="G26" s="27">
        <v>0.68874282407407394</v>
      </c>
      <c r="H26" s="2">
        <v>0.67802098765432095</v>
      </c>
      <c r="I26" s="2">
        <v>0.66649745370370395</v>
      </c>
    </row>
    <row r="27" spans="1:9" x14ac:dyDescent="0.3">
      <c r="A27" s="1" t="s">
        <v>23</v>
      </c>
      <c r="B27" s="2">
        <v>0.70476581790123505</v>
      </c>
      <c r="C27" s="2">
        <v>0.70209984567901196</v>
      </c>
      <c r="D27" s="2">
        <v>0.69747546296296303</v>
      </c>
      <c r="E27" s="2">
        <v>0.69407214506172898</v>
      </c>
      <c r="F27" s="2">
        <v>0.68960547839506203</v>
      </c>
      <c r="G27" s="27">
        <v>0.68721944444444405</v>
      </c>
      <c r="H27" s="2">
        <v>0.679161033950617</v>
      </c>
      <c r="I27" s="2">
        <v>0.66751697530864196</v>
      </c>
    </row>
    <row r="28" spans="1:9" s="8" customFormat="1" x14ac:dyDescent="0.3">
      <c r="A28" s="7" t="s">
        <v>24</v>
      </c>
      <c r="B28" s="17">
        <v>0.702993441358025</v>
      </c>
      <c r="C28" s="17">
        <v>0.70145270061728404</v>
      </c>
      <c r="D28" s="17">
        <v>0.69882407407407399</v>
      </c>
      <c r="E28" s="17">
        <v>0.69629490740740696</v>
      </c>
      <c r="F28" s="17">
        <v>0.69143665123456799</v>
      </c>
      <c r="G28" s="31">
        <v>0.688259490740741</v>
      </c>
      <c r="H28" s="17">
        <v>0.67827469135802498</v>
      </c>
      <c r="I28" s="17">
        <v>0.66809490740740696</v>
      </c>
    </row>
    <row r="29" spans="1:9" x14ac:dyDescent="0.3">
      <c r="A29" s="1" t="s">
        <v>25</v>
      </c>
      <c r="B29" s="2">
        <v>0.70253688271604897</v>
      </c>
      <c r="C29" s="2">
        <v>0.69991790123456799</v>
      </c>
      <c r="D29" s="2">
        <v>0.696696836419753</v>
      </c>
      <c r="E29" s="2">
        <v>0.69461419753086395</v>
      </c>
      <c r="F29" s="2">
        <v>0.69149598765432096</v>
      </c>
      <c r="G29" s="32">
        <v>0.68935717592592605</v>
      </c>
      <c r="H29" s="6">
        <v>0.67917669753086396</v>
      </c>
      <c r="I29" s="2">
        <v>0.66510146604938303</v>
      </c>
    </row>
    <row r="30" spans="1:9" x14ac:dyDescent="0.3">
      <c r="A30" s="1" t="s">
        <v>26</v>
      </c>
      <c r="B30" s="6">
        <v>0.705277854938272</v>
      </c>
      <c r="C30" s="2">
        <v>0.70202716049382696</v>
      </c>
      <c r="D30" s="2">
        <v>0.69634699074074102</v>
      </c>
      <c r="E30" s="2">
        <v>0.69227183641975298</v>
      </c>
      <c r="F30" s="2">
        <v>0.68716018518518496</v>
      </c>
      <c r="G30" s="27">
        <v>0.68473711419753103</v>
      </c>
      <c r="H30" s="2">
        <v>0.67841334876543202</v>
      </c>
      <c r="I30" s="6">
        <v>0.66962770061728405</v>
      </c>
    </row>
    <row r="31" spans="1:9" x14ac:dyDescent="0.3">
      <c r="A31" s="1" t="s">
        <v>27</v>
      </c>
      <c r="B31" s="2">
        <v>0.70243935185185202</v>
      </c>
      <c r="C31" s="6">
        <v>0.70207800925925901</v>
      </c>
      <c r="D31" s="6">
        <v>0.70044583333333299</v>
      </c>
      <c r="E31" s="6">
        <v>0.69787785493827204</v>
      </c>
      <c r="F31" s="6">
        <v>0.69165262345679002</v>
      </c>
      <c r="G31" s="27">
        <v>0.68701365740740705</v>
      </c>
      <c r="H31" s="2">
        <v>0.67007384259259295</v>
      </c>
      <c r="I31" s="2">
        <v>0.65598047839506202</v>
      </c>
    </row>
    <row r="32" spans="1:9" s="8" customFormat="1" x14ac:dyDescent="0.3">
      <c r="A32" s="7" t="s">
        <v>28</v>
      </c>
      <c r="B32" s="17">
        <v>0.67914043209876596</v>
      </c>
      <c r="C32" s="17">
        <v>0.67914043209876596</v>
      </c>
      <c r="D32" s="17">
        <v>0.67914027777777797</v>
      </c>
      <c r="E32" s="17">
        <v>0.67914027777777797</v>
      </c>
      <c r="F32" s="17">
        <v>0.67914027777777797</v>
      </c>
      <c r="G32" s="31">
        <v>0.67896697530864203</v>
      </c>
      <c r="H32" s="17">
        <v>0.67650887345679001</v>
      </c>
      <c r="I32" s="17">
        <v>0.66492854938271595</v>
      </c>
    </row>
    <row r="33" spans="1:9" x14ac:dyDescent="0.3">
      <c r="A33" s="1" t="s">
        <v>29</v>
      </c>
      <c r="B33" s="2">
        <v>0.65183209876543202</v>
      </c>
      <c r="C33" s="2">
        <v>0.65183209876543202</v>
      </c>
      <c r="D33" s="2">
        <v>0.65183209876543202</v>
      </c>
      <c r="E33" s="2">
        <v>0.65183209876543202</v>
      </c>
      <c r="F33" s="2">
        <v>0.65183209876543202</v>
      </c>
      <c r="G33" s="27">
        <v>0.65183209876543202</v>
      </c>
      <c r="H33" s="2">
        <v>0.65183179012345704</v>
      </c>
      <c r="I33" s="2">
        <v>0.65176095679012402</v>
      </c>
    </row>
    <row r="34" spans="1:9" s="8" customFormat="1" x14ac:dyDescent="0.3">
      <c r="A34" s="7" t="s">
        <v>30</v>
      </c>
      <c r="B34" s="26">
        <v>0.59312692901234598</v>
      </c>
      <c r="C34" s="26">
        <v>0.59312692901234598</v>
      </c>
      <c r="D34" s="26">
        <v>0.59312692901234598</v>
      </c>
      <c r="E34" s="26">
        <v>0.59312692901234598</v>
      </c>
      <c r="F34" s="26">
        <v>0.59312692901234598</v>
      </c>
      <c r="G34" s="36">
        <v>0.59312692901234598</v>
      </c>
      <c r="H34" s="26">
        <v>0.59312692901234598</v>
      </c>
      <c r="I34" s="26">
        <v>0.59312692901234598</v>
      </c>
    </row>
    <row r="35" spans="1:9" x14ac:dyDescent="0.3">
      <c r="A35" s="1" t="s">
        <v>31</v>
      </c>
      <c r="B35" s="25">
        <v>0.51009475308642005</v>
      </c>
      <c r="C35" s="25">
        <v>0.51009475308642005</v>
      </c>
      <c r="D35" s="25">
        <v>0.51009475308642005</v>
      </c>
      <c r="E35" s="25">
        <v>0.51009475308642005</v>
      </c>
      <c r="F35" s="25">
        <v>0.51009475308642005</v>
      </c>
      <c r="G35" s="37">
        <v>0.51009475308642005</v>
      </c>
      <c r="H35" s="25">
        <v>0.51009475308642005</v>
      </c>
      <c r="I35" s="25">
        <v>0.51009475308642005</v>
      </c>
    </row>
    <row r="36" spans="1:9" s="13" customFormat="1" x14ac:dyDescent="0.3">
      <c r="A36" s="11" t="s">
        <v>68</v>
      </c>
      <c r="B36" s="12">
        <f>AVERAGE(B4:B35)</f>
        <v>0.67191262217078196</v>
      </c>
      <c r="C36" s="12">
        <f t="shared" ref="C36:I36" si="0">AVERAGE(C4:C35)</f>
        <v>0.67047500000000004</v>
      </c>
      <c r="D36" s="12">
        <f t="shared" si="0"/>
        <v>0.66811965020576147</v>
      </c>
      <c r="E36" s="12">
        <f t="shared" si="0"/>
        <v>0.66633066486625536</v>
      </c>
      <c r="F36" s="12">
        <f t="shared" si="0"/>
        <v>0.66313746141975316</v>
      </c>
      <c r="G36" s="12">
        <f t="shared" si="0"/>
        <v>0.66120494470164604</v>
      </c>
      <c r="H36" s="12">
        <f t="shared" si="0"/>
        <v>0.654224993569959</v>
      </c>
      <c r="I36" s="12">
        <f t="shared" si="0"/>
        <v>0.64545414737654327</v>
      </c>
    </row>
    <row r="37" spans="1:9" x14ac:dyDescent="0.3">
      <c r="A37" s="11" t="s">
        <v>69</v>
      </c>
      <c r="B37" s="12">
        <f>MAX(B4,B20,B26:B35)</f>
        <v>0.705277854938272</v>
      </c>
      <c r="C37" s="12">
        <f t="shared" ref="C37:I37" si="1">MAX(C4,C20,C26:C35)</f>
        <v>0.70209984567901196</v>
      </c>
      <c r="D37" s="12">
        <f t="shared" si="1"/>
        <v>0.70044583333333299</v>
      </c>
      <c r="E37" s="12">
        <f t="shared" si="1"/>
        <v>0.69787785493827204</v>
      </c>
      <c r="F37" s="12">
        <f t="shared" si="1"/>
        <v>0.69165262345679002</v>
      </c>
      <c r="G37" s="12">
        <f t="shared" si="1"/>
        <v>0.68935717592592605</v>
      </c>
      <c r="H37" s="12">
        <f t="shared" si="1"/>
        <v>0.67917669753086396</v>
      </c>
      <c r="I37" s="12">
        <f t="shared" si="1"/>
        <v>0.66962770061728405</v>
      </c>
    </row>
    <row r="38" spans="1:9" x14ac:dyDescent="0.3">
      <c r="A38" s="11" t="s">
        <v>70</v>
      </c>
      <c r="B38" s="27">
        <f>MIN(B4,B20,B26:B35)</f>
        <v>0.51009475308642005</v>
      </c>
      <c r="C38" s="27">
        <f t="shared" ref="C38:I38" si="2">MIN(C4,C20,C26:C35)</f>
        <v>0.51009475308642005</v>
      </c>
      <c r="D38" s="27">
        <f t="shared" si="2"/>
        <v>0.51009475308642005</v>
      </c>
      <c r="E38" s="27">
        <f t="shared" si="2"/>
        <v>0.51009475308642005</v>
      </c>
      <c r="F38" s="27">
        <f t="shared" si="2"/>
        <v>0.51009475308642005</v>
      </c>
      <c r="G38" s="27">
        <f t="shared" si="2"/>
        <v>0.51009475308642005</v>
      </c>
      <c r="H38" s="27">
        <f t="shared" si="2"/>
        <v>0.51009475308642005</v>
      </c>
      <c r="I38" s="27">
        <f t="shared" si="2"/>
        <v>0.51009475308642005</v>
      </c>
    </row>
    <row r="39" spans="1:9" x14ac:dyDescent="0.3">
      <c r="A39" s="1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5" spans="1:9" x14ac:dyDescent="0.3">
      <c r="A45" s="38" t="s">
        <v>67</v>
      </c>
      <c r="B45" s="38"/>
    </row>
    <row r="46" spans="1:9" x14ac:dyDescent="0.3">
      <c r="B46"/>
    </row>
  </sheetData>
  <mergeCells count="1">
    <mergeCell ref="A45:B45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3CD-6090-4CF8-BAF5-9DABA1ED6627}">
  <dimension ref="A1:K46"/>
  <sheetViews>
    <sheetView topLeftCell="A10" workbookViewId="0">
      <selection activeCell="D16" sqref="D16"/>
    </sheetView>
  </sheetViews>
  <sheetFormatPr defaultRowHeight="14" x14ac:dyDescent="0.3"/>
  <cols>
    <col min="1" max="1" width="13.33203125" customWidth="1"/>
    <col min="2" max="3" width="8.6640625" style="2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16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0.52801226851851801</v>
      </c>
      <c r="C2" s="20">
        <v>0.52801226851851801</v>
      </c>
      <c r="D2" s="20">
        <v>0.52801226851851801</v>
      </c>
      <c r="E2" s="20">
        <v>0.52801226851851801</v>
      </c>
      <c r="F2" s="20">
        <v>0.52801226851851801</v>
      </c>
      <c r="G2" s="20">
        <v>0.52801226851851801</v>
      </c>
      <c r="H2" s="20">
        <v>0.52801226851851801</v>
      </c>
      <c r="I2" s="20">
        <v>0.52801226851851801</v>
      </c>
      <c r="J2" s="14"/>
      <c r="K2" s="14"/>
    </row>
    <row r="3" spans="1:11" x14ac:dyDescent="0.3">
      <c r="A3" s="3" t="s">
        <v>33</v>
      </c>
      <c r="B3" s="21">
        <v>0.43536141975308601</v>
      </c>
      <c r="C3" s="21">
        <v>0.43536141975308601</v>
      </c>
      <c r="D3" s="21">
        <v>0.43536141975308601</v>
      </c>
      <c r="E3" s="21">
        <v>0.43536141975308601</v>
      </c>
      <c r="F3" s="21">
        <v>0.43536141975308601</v>
      </c>
      <c r="G3" s="21">
        <v>0.43536141975308601</v>
      </c>
      <c r="H3" s="21">
        <v>0.43536141975308601</v>
      </c>
      <c r="I3" s="21">
        <v>0.43536141975308601</v>
      </c>
      <c r="J3" s="15"/>
      <c r="K3" s="15"/>
    </row>
    <row r="4" spans="1:11" s="8" customFormat="1" x14ac:dyDescent="0.3">
      <c r="A4" s="10" t="s">
        <v>0</v>
      </c>
      <c r="B4" s="17">
        <v>0.67667438271604896</v>
      </c>
      <c r="C4" s="17">
        <v>0.67399135802469101</v>
      </c>
      <c r="D4" s="17">
        <v>0.66952970679012402</v>
      </c>
      <c r="E4" s="17">
        <v>0.66583580246913598</v>
      </c>
      <c r="F4" s="17">
        <v>0.65985679012345699</v>
      </c>
      <c r="G4" s="17">
        <v>0.65620995370370405</v>
      </c>
      <c r="H4" s="17">
        <v>0.64286365740740703</v>
      </c>
      <c r="I4" s="17">
        <v>0.62592538580246904</v>
      </c>
    </row>
    <row r="5" spans="1:11" x14ac:dyDescent="0.3">
      <c r="A5" s="1" t="s">
        <v>1</v>
      </c>
      <c r="D5" s="2"/>
      <c r="E5" s="2"/>
      <c r="F5" s="2"/>
      <c r="G5" s="2"/>
      <c r="H5" s="2"/>
    </row>
    <row r="6" spans="1:11" x14ac:dyDescent="0.3">
      <c r="A6" s="1" t="s">
        <v>2</v>
      </c>
      <c r="D6" s="2"/>
      <c r="E6" s="2"/>
      <c r="F6" s="2"/>
      <c r="G6" s="2"/>
      <c r="H6" s="2"/>
    </row>
    <row r="7" spans="1:11" x14ac:dyDescent="0.3">
      <c r="A7" s="1" t="s">
        <v>3</v>
      </c>
      <c r="D7" s="2"/>
      <c r="E7" s="2"/>
      <c r="F7" s="2"/>
      <c r="G7" s="2"/>
      <c r="H7" s="2"/>
    </row>
    <row r="8" spans="1:11" x14ac:dyDescent="0.3">
      <c r="A8" s="1" t="s">
        <v>4</v>
      </c>
      <c r="D8" s="2"/>
      <c r="E8" s="2"/>
      <c r="F8" s="2"/>
      <c r="G8" s="2"/>
      <c r="H8" s="2"/>
    </row>
    <row r="9" spans="1:11" x14ac:dyDescent="0.3">
      <c r="A9" s="1" t="s">
        <v>5</v>
      </c>
      <c r="D9" s="2"/>
      <c r="E9" s="2"/>
      <c r="F9" s="2"/>
      <c r="G9" s="2"/>
      <c r="H9" s="2"/>
    </row>
    <row r="10" spans="1:11" x14ac:dyDescent="0.3">
      <c r="A10" s="1" t="s">
        <v>6</v>
      </c>
      <c r="D10" s="2"/>
      <c r="E10" s="2"/>
      <c r="F10" s="2"/>
      <c r="G10" s="2"/>
      <c r="H10" s="2"/>
    </row>
    <row r="11" spans="1:11" x14ac:dyDescent="0.3">
      <c r="A11" s="1" t="s">
        <v>7</v>
      </c>
      <c r="D11" s="2"/>
      <c r="E11" s="2"/>
      <c r="F11" s="2"/>
      <c r="G11" s="2"/>
      <c r="H11" s="2"/>
    </row>
    <row r="12" spans="1:11" x14ac:dyDescent="0.3">
      <c r="A12" s="1" t="s">
        <v>8</v>
      </c>
      <c r="D12" s="2"/>
      <c r="E12" s="2"/>
      <c r="F12" s="2"/>
      <c r="G12" s="2"/>
      <c r="H12" s="2"/>
    </row>
    <row r="13" spans="1:11" x14ac:dyDescent="0.3">
      <c r="A13" s="1" t="s">
        <v>9</v>
      </c>
      <c r="D13" s="2"/>
      <c r="E13" s="2"/>
      <c r="F13" s="2"/>
      <c r="G13" s="2"/>
      <c r="H13" s="2"/>
    </row>
    <row r="14" spans="1:11" x14ac:dyDescent="0.3">
      <c r="A14" s="1" t="s">
        <v>10</v>
      </c>
      <c r="D14" s="2"/>
      <c r="E14" s="2"/>
      <c r="F14" s="2"/>
      <c r="G14" s="2"/>
      <c r="H14" s="2"/>
    </row>
    <row r="15" spans="1:11" x14ac:dyDescent="0.3">
      <c r="A15" s="1" t="s">
        <v>11</v>
      </c>
      <c r="D15" s="2"/>
      <c r="E15" s="2"/>
      <c r="F15" s="2"/>
      <c r="G15" s="2"/>
      <c r="H15" s="2"/>
    </row>
    <row r="16" spans="1:11" x14ac:dyDescent="0.3">
      <c r="A16" s="1" t="s">
        <v>12</v>
      </c>
      <c r="D16" s="2"/>
      <c r="E16" s="2"/>
      <c r="F16" s="2"/>
      <c r="G16" s="2"/>
      <c r="H16" s="2"/>
    </row>
    <row r="17" spans="1:9" x14ac:dyDescent="0.3">
      <c r="A17" s="1" t="s">
        <v>13</v>
      </c>
      <c r="D17" s="2"/>
      <c r="E17" s="2"/>
      <c r="F17" s="2"/>
      <c r="G17" s="2"/>
      <c r="H17" s="2"/>
    </row>
    <row r="18" spans="1:9" x14ac:dyDescent="0.3">
      <c r="A18" s="1" t="s">
        <v>14</v>
      </c>
      <c r="D18" s="2"/>
      <c r="E18" s="2"/>
      <c r="F18" s="2"/>
      <c r="G18" s="2"/>
      <c r="H18" s="2"/>
    </row>
    <row r="19" spans="1:9" x14ac:dyDescent="0.3">
      <c r="A19" s="1" t="s">
        <v>15</v>
      </c>
      <c r="D19" s="2"/>
      <c r="E19" s="2"/>
      <c r="F19" s="2"/>
      <c r="G19" s="2"/>
      <c r="H19" s="2"/>
    </row>
    <row r="20" spans="1:9" s="8" customFormat="1" x14ac:dyDescent="0.3">
      <c r="A20" s="7" t="s">
        <v>16</v>
      </c>
      <c r="B20" s="17">
        <v>0.67868966049382695</v>
      </c>
      <c r="C20" s="17">
        <v>0.67615547839506196</v>
      </c>
      <c r="D20" s="17">
        <v>0.67202160493827201</v>
      </c>
      <c r="E20" s="17">
        <v>0.66854429012345695</v>
      </c>
      <c r="F20" s="17">
        <v>0.66285030864197503</v>
      </c>
      <c r="G20" s="17">
        <v>0.65933495370370399</v>
      </c>
      <c r="H20" s="17">
        <v>0.64589382716049404</v>
      </c>
      <c r="I20" s="17">
        <v>0.629525077160494</v>
      </c>
    </row>
    <row r="21" spans="1:9" x14ac:dyDescent="0.3">
      <c r="A21" s="1" t="s">
        <v>17</v>
      </c>
      <c r="D21" s="2"/>
      <c r="E21" s="2"/>
      <c r="F21" s="2"/>
      <c r="G21" s="2"/>
      <c r="H21" s="2"/>
    </row>
    <row r="22" spans="1:9" x14ac:dyDescent="0.3">
      <c r="A22" s="1" t="s">
        <v>18</v>
      </c>
      <c r="D22" s="2"/>
      <c r="E22" s="2"/>
      <c r="F22" s="2"/>
      <c r="G22" s="2"/>
      <c r="H22" s="2"/>
    </row>
    <row r="23" spans="1:9" x14ac:dyDescent="0.3">
      <c r="A23" s="1" t="s">
        <v>19</v>
      </c>
      <c r="D23" s="2"/>
      <c r="E23" s="2"/>
      <c r="F23" s="2"/>
      <c r="G23" s="2"/>
      <c r="H23" s="2"/>
    </row>
    <row r="24" spans="1:9" x14ac:dyDescent="0.3">
      <c r="A24" s="1" t="s">
        <v>20</v>
      </c>
      <c r="D24" s="2"/>
      <c r="E24" s="2"/>
      <c r="F24" s="2"/>
      <c r="G24" s="2"/>
      <c r="H24" s="2"/>
    </row>
    <row r="25" spans="1:9" x14ac:dyDescent="0.3">
      <c r="A25" s="1" t="s">
        <v>21</v>
      </c>
      <c r="D25" s="2"/>
      <c r="E25" s="2"/>
      <c r="F25" s="2"/>
      <c r="G25" s="2"/>
      <c r="H25" s="2"/>
      <c r="I25" s="2"/>
    </row>
    <row r="26" spans="1:9" x14ac:dyDescent="0.3">
      <c r="A26" s="1" t="s">
        <v>22</v>
      </c>
      <c r="B26" s="2">
        <v>0.67996072530864204</v>
      </c>
      <c r="C26" s="2">
        <v>0.67756689814814797</v>
      </c>
      <c r="D26" s="2">
        <v>0.67394645061728398</v>
      </c>
      <c r="E26" s="2">
        <v>0.67082631172839502</v>
      </c>
      <c r="F26" s="2">
        <v>0.66511195987654304</v>
      </c>
      <c r="G26" s="2">
        <v>0.66117862654321002</v>
      </c>
      <c r="H26" s="2">
        <v>0.64734645061728402</v>
      </c>
      <c r="I26" s="2">
        <v>0.63286527777777801</v>
      </c>
    </row>
    <row r="27" spans="1:9" x14ac:dyDescent="0.3">
      <c r="A27" s="1" t="s">
        <v>23</v>
      </c>
      <c r="B27" s="6">
        <v>0.68091998456790104</v>
      </c>
      <c r="C27" s="2">
        <v>0.677729861111111</v>
      </c>
      <c r="D27" s="2">
        <v>0.67268086419753104</v>
      </c>
      <c r="E27" s="2">
        <v>0.66907337962962998</v>
      </c>
      <c r="F27" s="2">
        <v>0.66408950617284002</v>
      </c>
      <c r="G27" s="2">
        <v>0.66124313271604895</v>
      </c>
      <c r="H27" s="6">
        <v>0.64878742283950597</v>
      </c>
      <c r="I27" s="2">
        <v>0.63051481481481497</v>
      </c>
    </row>
    <row r="28" spans="1:9" s="8" customFormat="1" x14ac:dyDescent="0.3">
      <c r="A28" s="7" t="s">
        <v>24</v>
      </c>
      <c r="B28" s="17">
        <v>0.68072368827160501</v>
      </c>
      <c r="C28" s="17">
        <v>0.67870748456790098</v>
      </c>
      <c r="D28" s="17">
        <v>0.67441319444444503</v>
      </c>
      <c r="E28" s="17">
        <v>0.67019143518518498</v>
      </c>
      <c r="F28" s="17">
        <v>0.66309282407407399</v>
      </c>
      <c r="G28" s="17">
        <v>0.65905084876543196</v>
      </c>
      <c r="H28" s="17">
        <v>0.64757932098765403</v>
      </c>
      <c r="I28" s="17">
        <v>0.63550486111111104</v>
      </c>
    </row>
    <row r="29" spans="1:9" x14ac:dyDescent="0.3">
      <c r="A29" s="1" t="s">
        <v>25</v>
      </c>
      <c r="B29" s="2">
        <v>0.67845709876543203</v>
      </c>
      <c r="C29" s="2">
        <v>0.67604367283950595</v>
      </c>
      <c r="D29" s="2">
        <v>0.67300655864197501</v>
      </c>
      <c r="E29" s="2">
        <v>0.67086520061728405</v>
      </c>
      <c r="F29" s="2">
        <v>0.66690810185185201</v>
      </c>
      <c r="G29" s="6">
        <v>0.66369104938271595</v>
      </c>
      <c r="H29" s="2">
        <v>0.64706365740740701</v>
      </c>
      <c r="I29" s="2">
        <v>0.62635802469135804</v>
      </c>
    </row>
    <row r="30" spans="1:9" x14ac:dyDescent="0.3">
      <c r="A30" s="1" t="s">
        <v>26</v>
      </c>
      <c r="B30" s="2">
        <v>0.68068402777777803</v>
      </c>
      <c r="C30" s="2">
        <v>0.67594737654321002</v>
      </c>
      <c r="D30" s="2">
        <v>0.66864004629629603</v>
      </c>
      <c r="E30" s="2">
        <v>0.66372253086419697</v>
      </c>
      <c r="F30" s="2">
        <v>0.65772330246913602</v>
      </c>
      <c r="G30" s="2">
        <v>0.65496898148148197</v>
      </c>
      <c r="H30" s="2">
        <v>0.64834722222222196</v>
      </c>
      <c r="I30" s="6">
        <v>0.63944374999999998</v>
      </c>
    </row>
    <row r="31" spans="1:9" x14ac:dyDescent="0.3">
      <c r="A31" s="1" t="s">
        <v>27</v>
      </c>
      <c r="B31" s="2">
        <v>0.68065339506172795</v>
      </c>
      <c r="C31" s="6">
        <v>0.68037229938271604</v>
      </c>
      <c r="D31" s="6">
        <v>0.67885069444444401</v>
      </c>
      <c r="E31" s="6">
        <v>0.67595733024691396</v>
      </c>
      <c r="F31" s="6">
        <v>0.66770871913580199</v>
      </c>
      <c r="G31" s="2">
        <v>0.66096527777777803</v>
      </c>
      <c r="H31" s="2">
        <v>0.63482121913580303</v>
      </c>
      <c r="I31" s="2">
        <v>0.60622145061728405</v>
      </c>
    </row>
    <row r="32" spans="1:9" s="8" customFormat="1" x14ac:dyDescent="0.3">
      <c r="A32" s="7" t="s">
        <v>28</v>
      </c>
      <c r="B32" s="17">
        <v>0.64276689814814802</v>
      </c>
      <c r="C32" s="17">
        <v>0.64276689814814802</v>
      </c>
      <c r="D32" s="17">
        <v>0.64276689814814802</v>
      </c>
      <c r="E32" s="17">
        <v>0.64276689814814802</v>
      </c>
      <c r="F32" s="17">
        <v>0.64275077160493799</v>
      </c>
      <c r="G32" s="17">
        <v>0.64272554012345695</v>
      </c>
      <c r="H32" s="17">
        <v>0.64129074074074099</v>
      </c>
      <c r="I32" s="17">
        <v>0.62918194444444397</v>
      </c>
    </row>
    <row r="33" spans="1:9" x14ac:dyDescent="0.3">
      <c r="A33" s="1" t="s">
        <v>29</v>
      </c>
      <c r="B33" s="2">
        <v>0.60093942901234598</v>
      </c>
      <c r="C33" s="2">
        <v>0.60093942901234598</v>
      </c>
      <c r="D33" s="2">
        <v>0.60093942901234598</v>
      </c>
      <c r="E33" s="2">
        <v>0.60093942901234598</v>
      </c>
      <c r="F33" s="2">
        <v>0.60093942901234598</v>
      </c>
      <c r="G33" s="2">
        <v>0.60093942901234598</v>
      </c>
      <c r="H33" s="2">
        <v>0.60093942901234598</v>
      </c>
      <c r="I33" s="2">
        <v>0.60091072530864198</v>
      </c>
    </row>
    <row r="34" spans="1:9" s="8" customFormat="1" x14ac:dyDescent="0.3">
      <c r="A34" s="7" t="s">
        <v>30</v>
      </c>
      <c r="B34" s="18">
        <v>0.528062345679012</v>
      </c>
      <c r="C34" s="18">
        <v>0.528062345679012</v>
      </c>
      <c r="D34" s="18">
        <v>0.528062345679012</v>
      </c>
      <c r="E34" s="18">
        <v>0.528062345679012</v>
      </c>
      <c r="F34" s="18">
        <v>0.528062345679012</v>
      </c>
      <c r="G34" s="18">
        <v>0.528062345679012</v>
      </c>
      <c r="H34" s="18">
        <v>0.528062345679012</v>
      </c>
      <c r="I34" s="18">
        <v>0.528062345679012</v>
      </c>
    </row>
    <row r="35" spans="1:9" x14ac:dyDescent="0.3">
      <c r="A35" s="1" t="s">
        <v>31</v>
      </c>
      <c r="B35" s="2">
        <v>0.43547060185185199</v>
      </c>
      <c r="C35" s="2">
        <v>0.43547060185185199</v>
      </c>
      <c r="D35" s="2">
        <v>0.43547060185185199</v>
      </c>
      <c r="E35" s="2">
        <v>0.43547060185185199</v>
      </c>
      <c r="F35" s="2">
        <v>0.43547060185185199</v>
      </c>
      <c r="G35" s="2">
        <v>0.43547060185185199</v>
      </c>
      <c r="H35" s="2">
        <v>0.43547060185185199</v>
      </c>
      <c r="I35" s="2">
        <v>0.43547060185185199</v>
      </c>
    </row>
    <row r="36" spans="1:9" s="13" customFormat="1" x14ac:dyDescent="0.3">
      <c r="A36" s="11" t="s">
        <v>68</v>
      </c>
      <c r="B36" s="12">
        <f>AVERAGE(B4:B35)</f>
        <v>0.63700018647119327</v>
      </c>
      <c r="C36" s="12">
        <f t="shared" ref="C36:I36" si="0">AVERAGE(C4:C35)</f>
        <v>0.63531280864197526</v>
      </c>
      <c r="D36" s="12">
        <f t="shared" si="0"/>
        <v>0.63252736625514416</v>
      </c>
      <c r="E36" s="12">
        <f t="shared" si="0"/>
        <v>0.63018796296296298</v>
      </c>
      <c r="F36" s="12">
        <f t="shared" si="0"/>
        <v>0.62621372170781886</v>
      </c>
      <c r="G36" s="12">
        <f t="shared" si="0"/>
        <v>0.62365339506172845</v>
      </c>
      <c r="H36" s="12">
        <f t="shared" si="0"/>
        <v>0.61403882458847747</v>
      </c>
      <c r="I36" s="12">
        <f t="shared" si="0"/>
        <v>0.60166535493827156</v>
      </c>
    </row>
    <row r="38" spans="1:9" x14ac:dyDescent="0.3">
      <c r="A38" s="1"/>
    </row>
    <row r="39" spans="1:9" x14ac:dyDescent="0.3">
      <c r="A39" s="1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5" spans="1:9" x14ac:dyDescent="0.3">
      <c r="A45" s="38" t="s">
        <v>67</v>
      </c>
      <c r="B45" s="38"/>
    </row>
    <row r="46" spans="1:9" x14ac:dyDescent="0.3">
      <c r="B46"/>
    </row>
  </sheetData>
  <mergeCells count="1">
    <mergeCell ref="A45:B45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BB05-6DB9-488A-9E23-E5A63A6F6BE8}">
  <dimension ref="A1:K48"/>
  <sheetViews>
    <sheetView workbookViewId="0">
      <selection activeCell="I7" sqref="I7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0.66775987654320901</v>
      </c>
      <c r="C2" s="20">
        <v>0.66775987654320901</v>
      </c>
      <c r="D2" s="20">
        <v>0.66775987654320901</v>
      </c>
      <c r="E2" s="20">
        <v>0.66775987654320901</v>
      </c>
      <c r="F2" s="20">
        <v>0.66775987654320901</v>
      </c>
      <c r="G2" s="29">
        <v>0.66775987654320901</v>
      </c>
      <c r="H2" s="20">
        <v>0.66775987654320901</v>
      </c>
      <c r="I2" s="20">
        <v>0.66775987654320901</v>
      </c>
      <c r="J2" s="14"/>
      <c r="K2" s="14"/>
    </row>
    <row r="3" spans="1:11" x14ac:dyDescent="0.3">
      <c r="A3" s="3" t="s">
        <v>33</v>
      </c>
      <c r="B3" s="21">
        <v>0.627925925925925</v>
      </c>
      <c r="C3" s="21">
        <v>0.627925925925925</v>
      </c>
      <c r="D3" s="21">
        <v>0.627925925925925</v>
      </c>
      <c r="E3" s="21">
        <v>0.627925925925925</v>
      </c>
      <c r="F3" s="21">
        <v>0.627925925925925</v>
      </c>
      <c r="G3" s="30">
        <v>0.627925925925925</v>
      </c>
      <c r="H3" s="21">
        <v>0.627925925925925</v>
      </c>
      <c r="I3" s="21">
        <v>0.627925925925925</v>
      </c>
      <c r="J3" s="15"/>
      <c r="K3" s="15"/>
    </row>
    <row r="4" spans="1:11" s="8" customFormat="1" x14ac:dyDescent="0.3">
      <c r="A4" s="10" t="s">
        <v>0</v>
      </c>
      <c r="B4" s="17">
        <v>0.72586010802469103</v>
      </c>
      <c r="C4" s="17">
        <v>0.72297584876543197</v>
      </c>
      <c r="D4" s="17">
        <v>0.71862152777777799</v>
      </c>
      <c r="E4" s="17">
        <v>0.71525239197530899</v>
      </c>
      <c r="F4" s="17">
        <v>0.71053688271604898</v>
      </c>
      <c r="G4" s="31">
        <v>0.70809945987654299</v>
      </c>
      <c r="H4" s="17">
        <v>0.70107137345679005</v>
      </c>
      <c r="I4" s="17">
        <v>0.69218557098765399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0.72806304012345702</v>
      </c>
      <c r="C20" s="17">
        <v>0.72554668209876605</v>
      </c>
      <c r="D20" s="17">
        <v>0.72109722222222195</v>
      </c>
      <c r="E20" s="17">
        <v>0.717589660493827</v>
      </c>
      <c r="F20" s="17">
        <v>0.71317854938271596</v>
      </c>
      <c r="G20" s="31">
        <v>0.71102908950617305</v>
      </c>
      <c r="H20" s="17">
        <v>0.704025231481481</v>
      </c>
      <c r="I20" s="17">
        <v>0.694002314814815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0.73025262345678998</v>
      </c>
      <c r="C26" s="2">
        <v>0.72725941358024704</v>
      </c>
      <c r="D26" s="2">
        <v>0.72296983024691397</v>
      </c>
      <c r="E26" s="2">
        <v>0.72017584876543195</v>
      </c>
      <c r="F26" s="2">
        <v>0.71664081790123502</v>
      </c>
      <c r="G26" s="27">
        <v>0.71454004629629597</v>
      </c>
      <c r="H26" s="2">
        <v>0.70503155864197498</v>
      </c>
      <c r="I26" s="2">
        <v>0.69282075617284</v>
      </c>
    </row>
    <row r="27" spans="1:9" x14ac:dyDescent="0.3">
      <c r="A27" s="1" t="s">
        <v>23</v>
      </c>
      <c r="B27" s="2">
        <v>0.73037662037036999</v>
      </c>
      <c r="C27" s="2">
        <v>0.72863225308641999</v>
      </c>
      <c r="D27" s="6">
        <v>0.725001234567901</v>
      </c>
      <c r="E27" s="2">
        <v>0.72122515432098799</v>
      </c>
      <c r="F27" s="2">
        <v>0.71491273148148204</v>
      </c>
      <c r="G27" s="27">
        <v>0.71141520061728403</v>
      </c>
      <c r="H27" s="2">
        <v>0.70283217592592595</v>
      </c>
      <c r="I27" s="2">
        <v>0.69513811728395103</v>
      </c>
    </row>
    <row r="28" spans="1:9" s="8" customFormat="1" x14ac:dyDescent="0.3">
      <c r="A28" s="7" t="s">
        <v>24</v>
      </c>
      <c r="B28" s="17">
        <v>0.72757229938271595</v>
      </c>
      <c r="C28" s="17">
        <v>0.72417337962963002</v>
      </c>
      <c r="D28" s="17">
        <v>0.72030709876543197</v>
      </c>
      <c r="E28" s="17">
        <v>0.71819143518518502</v>
      </c>
      <c r="F28" s="17">
        <v>0.71567669753086405</v>
      </c>
      <c r="G28" s="31">
        <v>0.71408695987654303</v>
      </c>
      <c r="H28" s="17">
        <v>0.70566797839506201</v>
      </c>
      <c r="I28" s="17">
        <v>0.69440084876543196</v>
      </c>
    </row>
    <row r="29" spans="1:9" x14ac:dyDescent="0.3">
      <c r="A29" s="1" t="s">
        <v>25</v>
      </c>
      <c r="B29" s="6">
        <v>0.73068989197530898</v>
      </c>
      <c r="C29" s="6">
        <v>0.72886342592592601</v>
      </c>
      <c r="D29" s="2">
        <v>0.72487515432098804</v>
      </c>
      <c r="E29" s="2">
        <v>0.72110416666666699</v>
      </c>
      <c r="F29" s="2">
        <v>0.71570069444444395</v>
      </c>
      <c r="G29" s="27">
        <v>0.71293842592592604</v>
      </c>
      <c r="H29" s="2">
        <v>0.70567993827160502</v>
      </c>
      <c r="I29" s="2">
        <v>0.69642986111111105</v>
      </c>
    </row>
    <row r="30" spans="1:9" x14ac:dyDescent="0.3">
      <c r="A30" s="1" t="s">
        <v>26</v>
      </c>
      <c r="B30" s="2">
        <v>0.72802808641975303</v>
      </c>
      <c r="C30" s="2">
        <v>0.72633155864197496</v>
      </c>
      <c r="D30" s="2">
        <v>0.72429259259259304</v>
      </c>
      <c r="E30" s="6">
        <v>0.72279614197530895</v>
      </c>
      <c r="F30" s="6">
        <v>0.71928780864197495</v>
      </c>
      <c r="G30" s="27">
        <v>0.71625416666666697</v>
      </c>
      <c r="H30" s="2">
        <v>0.70257067901234604</v>
      </c>
      <c r="I30" s="2">
        <v>0.68892885802469095</v>
      </c>
    </row>
    <row r="31" spans="1:9" x14ac:dyDescent="0.3">
      <c r="A31" s="1" t="s">
        <v>27</v>
      </c>
      <c r="B31" s="2">
        <v>0.72924074074074097</v>
      </c>
      <c r="C31" s="2">
        <v>0.72396728395061705</v>
      </c>
      <c r="D31" s="2">
        <v>0.71682291666666698</v>
      </c>
      <c r="E31" s="2">
        <v>0.71241504629629604</v>
      </c>
      <c r="F31" s="2">
        <v>0.70746265432098798</v>
      </c>
      <c r="G31" s="27">
        <v>0.70531087962963002</v>
      </c>
      <c r="H31" s="2">
        <v>0.70088819444444495</v>
      </c>
      <c r="I31" s="2">
        <v>0.69577361111111102</v>
      </c>
    </row>
    <row r="32" spans="1:9" s="8" customFormat="1" x14ac:dyDescent="0.3">
      <c r="A32" s="7" t="s">
        <v>28</v>
      </c>
      <c r="B32" s="17">
        <v>0.72252129629629602</v>
      </c>
      <c r="C32" s="17">
        <v>0.72254567901234601</v>
      </c>
      <c r="D32" s="17">
        <v>0.72234598765432101</v>
      </c>
      <c r="E32" s="17">
        <v>0.72115154320987696</v>
      </c>
      <c r="F32" s="17">
        <v>0.71686304012345703</v>
      </c>
      <c r="G32" s="31">
        <v>0.71334583333333401</v>
      </c>
      <c r="H32" s="17">
        <v>0.701209722222222</v>
      </c>
      <c r="I32" s="17">
        <v>0.69157091049382702</v>
      </c>
    </row>
    <row r="33" spans="1:9" x14ac:dyDescent="0.3">
      <c r="A33" s="1" t="s">
        <v>29</v>
      </c>
      <c r="B33" s="2">
        <v>0.71153564814814796</v>
      </c>
      <c r="C33" s="2">
        <v>0.71153564814814796</v>
      </c>
      <c r="D33" s="2">
        <v>0.71153564814814796</v>
      </c>
      <c r="E33" s="2">
        <v>0.71153564814814796</v>
      </c>
      <c r="F33" s="2">
        <v>0.71153564814814796</v>
      </c>
      <c r="G33" s="27">
        <v>0.71147492283950597</v>
      </c>
      <c r="H33" s="6">
        <v>0.70969907407407395</v>
      </c>
      <c r="I33" s="6">
        <v>0.69819621913580299</v>
      </c>
    </row>
    <row r="34" spans="1:9" s="8" customFormat="1" x14ac:dyDescent="0.3">
      <c r="A34" s="7" t="s">
        <v>30</v>
      </c>
      <c r="B34" s="18">
        <v>0.66343927469135799</v>
      </c>
      <c r="C34" s="18">
        <v>0.66343927469135799</v>
      </c>
      <c r="D34" s="18">
        <v>0.66343927469135799</v>
      </c>
      <c r="E34" s="18">
        <v>0.66343927469135799</v>
      </c>
      <c r="F34" s="18">
        <v>0.66343927469135799</v>
      </c>
      <c r="G34" s="33">
        <v>0.66343927469135799</v>
      </c>
      <c r="H34" s="18">
        <v>0.66343927469135799</v>
      </c>
      <c r="I34" s="18">
        <v>0.66343942901234598</v>
      </c>
    </row>
    <row r="35" spans="1:9" x14ac:dyDescent="0.3">
      <c r="A35" s="1" t="s">
        <v>31</v>
      </c>
      <c r="B35" s="19">
        <v>0.629464506172839</v>
      </c>
      <c r="C35" s="19">
        <v>0.629464506172839</v>
      </c>
      <c r="D35" s="19">
        <v>0.629464506172839</v>
      </c>
      <c r="E35" s="19">
        <v>0.629464506172839</v>
      </c>
      <c r="F35" s="19">
        <v>0.629464506172839</v>
      </c>
      <c r="G35" s="12">
        <v>0.629464506172839</v>
      </c>
      <c r="H35" s="19">
        <v>0.629464506172839</v>
      </c>
      <c r="I35" s="2">
        <v>0.629464506172839</v>
      </c>
    </row>
    <row r="36" spans="1:9" s="13" customFormat="1" x14ac:dyDescent="0.3">
      <c r="A36" s="11" t="s">
        <v>68</v>
      </c>
      <c r="B36" s="12">
        <f>AVERAGE(B4:B35)</f>
        <v>0.71308701131687224</v>
      </c>
      <c r="C36" s="12">
        <f t="shared" ref="C36:I36" si="0">AVERAGE(C4:C35)</f>
        <v>0.71122791280864206</v>
      </c>
      <c r="D36" s="12">
        <f t="shared" si="0"/>
        <v>0.70839774948559675</v>
      </c>
      <c r="E36" s="12">
        <f t="shared" si="0"/>
        <v>0.70619506815843625</v>
      </c>
      <c r="F36" s="12">
        <f t="shared" si="0"/>
        <v>0.70289160879629631</v>
      </c>
      <c r="G36" s="12">
        <f t="shared" si="0"/>
        <v>0.70094989711934164</v>
      </c>
      <c r="H36" s="12">
        <f t="shared" si="0"/>
        <v>0.69429830889917687</v>
      </c>
      <c r="I36" s="12">
        <f t="shared" si="0"/>
        <v>0.68602925025720163</v>
      </c>
    </row>
    <row r="37" spans="1:9" x14ac:dyDescent="0.3">
      <c r="A37" s="11" t="s">
        <v>69</v>
      </c>
      <c r="B37" s="12">
        <f>MAX(B4,B20,B26:B35)</f>
        <v>0.73068989197530898</v>
      </c>
      <c r="C37" s="12">
        <f t="shared" ref="C37:I37" si="1">MAX(C4,C20,C26:C35)</f>
        <v>0.72886342592592601</v>
      </c>
      <c r="D37" s="12">
        <f t="shared" si="1"/>
        <v>0.725001234567901</v>
      </c>
      <c r="E37" s="12">
        <f t="shared" si="1"/>
        <v>0.72279614197530895</v>
      </c>
      <c r="F37" s="12">
        <f t="shared" si="1"/>
        <v>0.71928780864197495</v>
      </c>
      <c r="G37" s="12">
        <f t="shared" si="1"/>
        <v>0.71625416666666697</v>
      </c>
      <c r="H37" s="12">
        <f t="shared" si="1"/>
        <v>0.70969907407407395</v>
      </c>
      <c r="I37" s="12">
        <f t="shared" si="1"/>
        <v>0.69819621913580299</v>
      </c>
    </row>
    <row r="38" spans="1:9" x14ac:dyDescent="0.3">
      <c r="A38" s="11" t="s">
        <v>70</v>
      </c>
      <c r="B38" s="27">
        <f>MIN(B4,B20,B26:B35)</f>
        <v>0.629464506172839</v>
      </c>
      <c r="C38" s="27">
        <f t="shared" ref="C38:I38" si="2">MIN(C4,C20,C26:C35)</f>
        <v>0.629464506172839</v>
      </c>
      <c r="D38" s="27">
        <f t="shared" si="2"/>
        <v>0.629464506172839</v>
      </c>
      <c r="E38" s="27">
        <f t="shared" si="2"/>
        <v>0.629464506172839</v>
      </c>
      <c r="F38" s="27">
        <f t="shared" si="2"/>
        <v>0.629464506172839</v>
      </c>
      <c r="G38" s="27">
        <f t="shared" si="2"/>
        <v>0.629464506172839</v>
      </c>
      <c r="H38" s="27">
        <f t="shared" si="2"/>
        <v>0.629464506172839</v>
      </c>
      <c r="I38" s="27">
        <f t="shared" si="2"/>
        <v>0.629464506172839</v>
      </c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4" spans="1:9" x14ac:dyDescent="0.3">
      <c r="A44" s="1"/>
    </row>
    <row r="47" spans="1:9" x14ac:dyDescent="0.3">
      <c r="A47" s="38" t="s">
        <v>67</v>
      </c>
      <c r="B47" s="38"/>
    </row>
    <row r="48" spans="1:9" x14ac:dyDescent="0.3">
      <c r="B48"/>
    </row>
  </sheetData>
  <mergeCells count="1">
    <mergeCell ref="A47:B47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D262-D184-4E33-948E-A78CE6B0BF87}">
  <dimension ref="A1:K46"/>
  <sheetViews>
    <sheetView workbookViewId="0">
      <selection activeCell="G2" sqref="G2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0.63830794753086395</v>
      </c>
      <c r="C2" s="20">
        <v>0.63830794753086395</v>
      </c>
      <c r="D2" s="20">
        <v>0.63830794753086395</v>
      </c>
      <c r="E2" s="20">
        <v>0.63830794753086395</v>
      </c>
      <c r="F2" s="20">
        <v>0.63830794753086395</v>
      </c>
      <c r="G2" s="29">
        <v>0.63830794753086395</v>
      </c>
      <c r="H2" s="20">
        <v>0.63830794753086395</v>
      </c>
      <c r="I2" s="20">
        <v>0.63830794753086395</v>
      </c>
      <c r="J2" s="14"/>
      <c r="K2" s="14"/>
    </row>
    <row r="3" spans="1:11" x14ac:dyDescent="0.3">
      <c r="A3" s="3" t="s">
        <v>33</v>
      </c>
      <c r="B3" s="21">
        <v>0.56745725308641903</v>
      </c>
      <c r="C3" s="21">
        <v>0.56745725308641903</v>
      </c>
      <c r="D3" s="21">
        <v>0.56745725308641903</v>
      </c>
      <c r="E3" s="21">
        <v>0.56745725308641903</v>
      </c>
      <c r="F3" s="21">
        <v>0.56745725308641903</v>
      </c>
      <c r="G3" s="30">
        <v>0.56745725308641903</v>
      </c>
      <c r="H3" s="21">
        <v>0.56745725308641903</v>
      </c>
      <c r="I3" s="21">
        <v>0.56745725308641903</v>
      </c>
      <c r="J3" s="15"/>
      <c r="K3" s="15"/>
    </row>
    <row r="4" spans="1:11" s="8" customFormat="1" x14ac:dyDescent="0.3">
      <c r="A4" s="10" t="s">
        <v>0</v>
      </c>
      <c r="B4" s="17">
        <v>0.71399945987654301</v>
      </c>
      <c r="C4" s="17">
        <v>0.711342901234568</v>
      </c>
      <c r="D4" s="17">
        <v>0.707188657407407</v>
      </c>
      <c r="E4" s="17">
        <v>0.70387916666666706</v>
      </c>
      <c r="F4" s="17">
        <v>0.698882947530864</v>
      </c>
      <c r="G4" s="31">
        <v>0.69589591049382704</v>
      </c>
      <c r="H4" s="17">
        <v>0.68554999999999999</v>
      </c>
      <c r="I4" s="17">
        <v>0.67354567901234597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0.716631944444444</v>
      </c>
      <c r="C20" s="17">
        <v>0.71419374999999996</v>
      </c>
      <c r="D20" s="17">
        <v>0.71019328703703699</v>
      </c>
      <c r="E20" s="17">
        <v>0.70692407407407398</v>
      </c>
      <c r="F20" s="17">
        <v>0.70207229938271598</v>
      </c>
      <c r="G20" s="31">
        <v>0.699270216049383</v>
      </c>
      <c r="H20" s="17">
        <v>0.68922260802469104</v>
      </c>
      <c r="I20" s="17">
        <v>0.67765817901234604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0.716131172839506</v>
      </c>
      <c r="C26" s="2">
        <v>0.71392345679012403</v>
      </c>
      <c r="D26" s="2">
        <v>0.71070686728395105</v>
      </c>
      <c r="E26" s="2">
        <v>0.70791010802469101</v>
      </c>
      <c r="F26" s="2">
        <v>0.70276080246913597</v>
      </c>
      <c r="G26" s="27">
        <v>0.69948665123456799</v>
      </c>
      <c r="H26" s="2">
        <v>0.68932692901234605</v>
      </c>
      <c r="I26" s="2">
        <v>0.67911481481481495</v>
      </c>
    </row>
    <row r="27" spans="1:9" x14ac:dyDescent="0.3">
      <c r="A27" s="1" t="s">
        <v>23</v>
      </c>
      <c r="B27" s="2">
        <v>0.716870987654321</v>
      </c>
      <c r="C27" s="2">
        <v>0.71377492283950605</v>
      </c>
      <c r="D27" s="2">
        <v>0.70954089506172802</v>
      </c>
      <c r="E27" s="2">
        <v>0.70675987654321004</v>
      </c>
      <c r="F27" s="2">
        <v>0.70289668209876499</v>
      </c>
      <c r="G27" s="27">
        <v>0.70051921296296304</v>
      </c>
      <c r="H27" s="2">
        <v>0.69034197530864205</v>
      </c>
      <c r="I27" s="2">
        <v>0.67669899691358004</v>
      </c>
    </row>
    <row r="28" spans="1:9" s="8" customFormat="1" x14ac:dyDescent="0.3">
      <c r="A28" s="7" t="s">
        <v>24</v>
      </c>
      <c r="B28" s="9">
        <v>0.71786790123456801</v>
      </c>
      <c r="C28" s="17">
        <v>0.71566851851851898</v>
      </c>
      <c r="D28" s="17">
        <v>0.71107199074074101</v>
      </c>
      <c r="E28" s="17">
        <v>0.70679876543209896</v>
      </c>
      <c r="F28" s="17">
        <v>0.70033665123456801</v>
      </c>
      <c r="G28" s="31">
        <v>0.69696087962963005</v>
      </c>
      <c r="H28" s="17">
        <v>0.68817206790123497</v>
      </c>
      <c r="I28" s="17">
        <v>0.67935964506172797</v>
      </c>
    </row>
    <row r="29" spans="1:9" x14ac:dyDescent="0.3">
      <c r="A29" s="1" t="s">
        <v>25</v>
      </c>
      <c r="B29" s="2">
        <v>0.71317615740740703</v>
      </c>
      <c r="C29" s="2">
        <v>0.71118449074074097</v>
      </c>
      <c r="D29" s="2">
        <v>0.708725694444445</v>
      </c>
      <c r="E29" s="2">
        <v>0.706970679012346</v>
      </c>
      <c r="F29" s="6">
        <v>0.703671219135802</v>
      </c>
      <c r="G29" s="32">
        <v>0.70106188271604897</v>
      </c>
      <c r="H29" s="2">
        <v>0.68941466049382705</v>
      </c>
      <c r="I29" s="2">
        <v>0.67722638888888897</v>
      </c>
    </row>
    <row r="30" spans="1:9" x14ac:dyDescent="0.3">
      <c r="A30" s="1" t="s">
        <v>26</v>
      </c>
      <c r="B30" s="2">
        <v>0.71643611111111105</v>
      </c>
      <c r="C30" s="2">
        <v>0.71234490740740697</v>
      </c>
      <c r="D30" s="2">
        <v>0.70676273148148205</v>
      </c>
      <c r="E30" s="2">
        <v>0.70331782407407395</v>
      </c>
      <c r="F30" s="2">
        <v>0.69934591049382699</v>
      </c>
      <c r="G30" s="27">
        <v>0.69748063271604899</v>
      </c>
      <c r="H30" s="6">
        <v>0.69143109567901195</v>
      </c>
      <c r="I30" s="6">
        <v>0.67998935185185205</v>
      </c>
    </row>
    <row r="31" spans="1:9" x14ac:dyDescent="0.3">
      <c r="A31" s="1" t="s">
        <v>27</v>
      </c>
      <c r="B31" s="2">
        <v>0.71720316358024705</v>
      </c>
      <c r="C31" s="6">
        <v>0.71605640432098805</v>
      </c>
      <c r="D31" s="6">
        <v>0.71248449074074105</v>
      </c>
      <c r="E31" s="6">
        <v>0.70812422839506195</v>
      </c>
      <c r="F31" s="2">
        <v>0.69976520061728398</v>
      </c>
      <c r="G31" s="27">
        <v>0.69466720679012295</v>
      </c>
      <c r="H31" s="2">
        <v>0.68072307098765406</v>
      </c>
      <c r="I31" s="2">
        <v>0.67143287037037003</v>
      </c>
    </row>
    <row r="32" spans="1:9" s="8" customFormat="1" x14ac:dyDescent="0.3">
      <c r="A32" s="7" t="s">
        <v>28</v>
      </c>
      <c r="B32" s="17">
        <v>0.69745995370370395</v>
      </c>
      <c r="C32" s="17">
        <v>0.69746010802469105</v>
      </c>
      <c r="D32" s="17">
        <v>0.697453163580247</v>
      </c>
      <c r="E32" s="17">
        <v>0.69740300925925902</v>
      </c>
      <c r="F32" s="17">
        <v>0.69706273148148201</v>
      </c>
      <c r="G32" s="31">
        <v>0.69649830246913602</v>
      </c>
      <c r="H32" s="17">
        <v>0.69010331790123502</v>
      </c>
      <c r="I32" s="17">
        <v>0.67406705246913601</v>
      </c>
    </row>
    <row r="33" spans="1:9" x14ac:dyDescent="0.3">
      <c r="A33" s="1" t="s">
        <v>29</v>
      </c>
      <c r="B33" s="2">
        <v>0.674374305555556</v>
      </c>
      <c r="C33" s="2">
        <v>0.674374305555556</v>
      </c>
      <c r="D33" s="2">
        <v>0.674374305555556</v>
      </c>
      <c r="E33" s="2">
        <v>0.674374305555556</v>
      </c>
      <c r="F33" s="2">
        <v>0.674374305555556</v>
      </c>
      <c r="G33" s="27">
        <v>0.674374305555556</v>
      </c>
      <c r="H33" s="2">
        <v>0.67436280864197495</v>
      </c>
      <c r="I33" s="2">
        <v>0.673788811728395</v>
      </c>
    </row>
    <row r="34" spans="1:9" s="8" customFormat="1" x14ac:dyDescent="0.3">
      <c r="A34" s="7" t="s">
        <v>30</v>
      </c>
      <c r="B34" s="18">
        <v>0.62363765432098806</v>
      </c>
      <c r="C34" s="18">
        <v>0.62363765432098806</v>
      </c>
      <c r="D34" s="18">
        <v>0.62363765432098806</v>
      </c>
      <c r="E34" s="18">
        <v>0.62363765432098806</v>
      </c>
      <c r="F34" s="18">
        <v>0.62363765432098806</v>
      </c>
      <c r="G34" s="33">
        <v>0.62363765432098806</v>
      </c>
      <c r="H34" s="18">
        <v>0.62363765432098806</v>
      </c>
      <c r="I34" s="18">
        <v>0.62363765432098806</v>
      </c>
    </row>
    <row r="35" spans="1:9" x14ac:dyDescent="0.3">
      <c r="A35" s="1" t="s">
        <v>31</v>
      </c>
      <c r="B35" s="19">
        <v>0.56326990740740801</v>
      </c>
      <c r="C35" s="19">
        <v>0.56326990740740801</v>
      </c>
      <c r="D35" s="19">
        <v>0.56326990740740801</v>
      </c>
      <c r="E35" s="19">
        <v>0.56326990740740801</v>
      </c>
      <c r="F35" s="19">
        <v>0.56326990740740801</v>
      </c>
      <c r="G35" s="12">
        <v>0.56326990740740801</v>
      </c>
      <c r="H35" s="19">
        <v>0.56326990740740801</v>
      </c>
      <c r="I35" s="2">
        <v>0.56326990740740801</v>
      </c>
    </row>
    <row r="36" spans="1:9" s="13" customFormat="1" x14ac:dyDescent="0.3">
      <c r="A36" s="11" t="s">
        <v>68</v>
      </c>
      <c r="B36" s="12">
        <f>AVERAGE(B4:B35)</f>
        <v>0.69058822659465025</v>
      </c>
      <c r="C36" s="12">
        <f t="shared" ref="C36:I36" si="0">AVERAGE(C4:C35)</f>
        <v>0.68893594393004143</v>
      </c>
      <c r="D36" s="12">
        <f t="shared" si="0"/>
        <v>0.68628413708847769</v>
      </c>
      <c r="E36" s="12">
        <f t="shared" si="0"/>
        <v>0.68411413323045289</v>
      </c>
      <c r="F36" s="12">
        <f t="shared" si="0"/>
        <v>0.68067302597736645</v>
      </c>
      <c r="G36" s="12">
        <f t="shared" si="0"/>
        <v>0.67859356352880662</v>
      </c>
      <c r="H36" s="12">
        <f t="shared" si="0"/>
        <v>0.67129634130658455</v>
      </c>
      <c r="I36" s="12">
        <f t="shared" si="0"/>
        <v>0.66248244598765427</v>
      </c>
    </row>
    <row r="37" spans="1:9" x14ac:dyDescent="0.3">
      <c r="A37" s="11" t="s">
        <v>69</v>
      </c>
      <c r="B37" s="12">
        <f>MAX(B4,B20,B26:B35)</f>
        <v>0.71786790123456801</v>
      </c>
      <c r="C37" s="12">
        <f t="shared" ref="C37:I37" si="1">MAX(C4,C20,C26:C35)</f>
        <v>0.71605640432098805</v>
      </c>
      <c r="D37" s="12">
        <f t="shared" si="1"/>
        <v>0.71248449074074105</v>
      </c>
      <c r="E37" s="12">
        <f t="shared" si="1"/>
        <v>0.70812422839506195</v>
      </c>
      <c r="F37" s="12">
        <f t="shared" si="1"/>
        <v>0.703671219135802</v>
      </c>
      <c r="G37" s="12">
        <f t="shared" si="1"/>
        <v>0.70106188271604897</v>
      </c>
      <c r="H37" s="12">
        <f t="shared" si="1"/>
        <v>0.69143109567901195</v>
      </c>
      <c r="I37" s="12">
        <f t="shared" si="1"/>
        <v>0.67998935185185205</v>
      </c>
    </row>
    <row r="38" spans="1:9" x14ac:dyDescent="0.3">
      <c r="A38" s="11" t="s">
        <v>70</v>
      </c>
      <c r="B38" s="27">
        <f>MIN(B4,B20,B26:B35)</f>
        <v>0.56326990740740801</v>
      </c>
      <c r="C38" s="27">
        <f t="shared" ref="C38:I38" si="2">MIN(C4,C20,C26:C35)</f>
        <v>0.56326990740740801</v>
      </c>
      <c r="D38" s="27">
        <f t="shared" si="2"/>
        <v>0.56326990740740801</v>
      </c>
      <c r="E38" s="27">
        <f t="shared" si="2"/>
        <v>0.56326990740740801</v>
      </c>
      <c r="F38" s="27">
        <f t="shared" si="2"/>
        <v>0.56326990740740801</v>
      </c>
      <c r="G38" s="27">
        <f t="shared" si="2"/>
        <v>0.56326990740740801</v>
      </c>
      <c r="H38" s="27">
        <f t="shared" si="2"/>
        <v>0.56326990740740801</v>
      </c>
      <c r="I38" s="27">
        <f t="shared" si="2"/>
        <v>0.56326990740740801</v>
      </c>
    </row>
    <row r="39" spans="1:9" x14ac:dyDescent="0.3">
      <c r="A39" s="1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5" spans="1:9" x14ac:dyDescent="0.3">
      <c r="A45" s="38" t="s">
        <v>67</v>
      </c>
      <c r="B45" s="38"/>
    </row>
    <row r="46" spans="1:9" x14ac:dyDescent="0.3">
      <c r="B46"/>
    </row>
  </sheetData>
  <mergeCells count="1">
    <mergeCell ref="A45:B45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6333-C84B-4445-B78B-E54D1BEB17E2}">
  <dimension ref="A1:K46"/>
  <sheetViews>
    <sheetView topLeftCell="A10" workbookViewId="0">
      <selection activeCell="G32" sqref="G32"/>
    </sheetView>
  </sheetViews>
  <sheetFormatPr defaultRowHeight="14" x14ac:dyDescent="0.3"/>
  <cols>
    <col min="1" max="1" width="13.33203125" customWidth="1"/>
    <col min="2" max="3" width="8.6640625" style="2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16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0.59340216049382699</v>
      </c>
      <c r="C2" s="20">
        <v>0.59340216049382699</v>
      </c>
      <c r="D2" s="20">
        <v>0.59340216049382699</v>
      </c>
      <c r="E2" s="20">
        <v>0.59340216049382699</v>
      </c>
      <c r="F2" s="20">
        <v>0.59340216049382699</v>
      </c>
      <c r="G2" s="20">
        <v>0.59340216049382699</v>
      </c>
      <c r="H2" s="20">
        <v>0.59340216049382699</v>
      </c>
      <c r="I2" s="20">
        <v>0.59340216049382699</v>
      </c>
      <c r="J2" s="14"/>
      <c r="K2" s="14"/>
    </row>
    <row r="3" spans="1:11" x14ac:dyDescent="0.3">
      <c r="A3" s="3" t="s">
        <v>33</v>
      </c>
      <c r="B3" s="21">
        <v>0.50754853395061705</v>
      </c>
      <c r="C3" s="21">
        <v>0.50754853395061705</v>
      </c>
      <c r="D3" s="21">
        <v>0.50754853395061705</v>
      </c>
      <c r="E3" s="21">
        <v>0.50754853395061705</v>
      </c>
      <c r="F3" s="21">
        <v>0.50754853395061705</v>
      </c>
      <c r="G3" s="21">
        <v>0.50754853395061705</v>
      </c>
      <c r="H3" s="21">
        <v>0.50754853395061705</v>
      </c>
      <c r="I3" s="21">
        <v>0.50754853395061705</v>
      </c>
      <c r="J3" s="15"/>
      <c r="K3" s="15"/>
    </row>
    <row r="4" spans="1:11" s="8" customFormat="1" x14ac:dyDescent="0.3">
      <c r="A4" s="10" t="s">
        <v>0</v>
      </c>
      <c r="B4" s="17">
        <v>0.67472762345679005</v>
      </c>
      <c r="C4" s="17">
        <v>0.67170748456790097</v>
      </c>
      <c r="D4" s="17">
        <v>0.66702878086419803</v>
      </c>
      <c r="E4" s="17">
        <v>0.66332638888888895</v>
      </c>
      <c r="F4" s="17">
        <v>0.65772615740740703</v>
      </c>
      <c r="G4" s="17">
        <v>0.65430408950617303</v>
      </c>
      <c r="H4" s="17">
        <v>0.64234537037036998</v>
      </c>
      <c r="I4" s="17">
        <v>0.62793858024691396</v>
      </c>
    </row>
    <row r="5" spans="1:11" x14ac:dyDescent="0.3">
      <c r="A5" s="1" t="s">
        <v>1</v>
      </c>
      <c r="D5" s="2"/>
      <c r="E5" s="2"/>
      <c r="F5" s="2"/>
      <c r="G5" s="2"/>
      <c r="H5" s="2"/>
    </row>
    <row r="6" spans="1:11" x14ac:dyDescent="0.3">
      <c r="A6" s="1" t="s">
        <v>2</v>
      </c>
      <c r="D6" s="2"/>
      <c r="E6" s="2"/>
      <c r="F6" s="2"/>
      <c r="G6" s="2"/>
      <c r="H6" s="2"/>
    </row>
    <row r="7" spans="1:11" x14ac:dyDescent="0.3">
      <c r="A7" s="1" t="s">
        <v>3</v>
      </c>
      <c r="D7" s="2"/>
      <c r="E7" s="2"/>
      <c r="F7" s="2"/>
      <c r="G7" s="2"/>
      <c r="H7" s="2"/>
    </row>
    <row r="8" spans="1:11" x14ac:dyDescent="0.3">
      <c r="A8" s="1" t="s">
        <v>4</v>
      </c>
      <c r="D8" s="2"/>
      <c r="E8" s="2"/>
      <c r="F8" s="2"/>
      <c r="G8" s="2"/>
      <c r="H8" s="2"/>
    </row>
    <row r="9" spans="1:11" x14ac:dyDescent="0.3">
      <c r="A9" s="1" t="s">
        <v>5</v>
      </c>
      <c r="D9" s="2"/>
      <c r="E9" s="2"/>
      <c r="F9" s="2"/>
      <c r="G9" s="2"/>
      <c r="H9" s="2"/>
    </row>
    <row r="10" spans="1:11" x14ac:dyDescent="0.3">
      <c r="A10" s="1" t="s">
        <v>6</v>
      </c>
      <c r="D10" s="2"/>
      <c r="E10" s="2"/>
      <c r="F10" s="2"/>
      <c r="G10" s="2"/>
      <c r="H10" s="2"/>
    </row>
    <row r="11" spans="1:11" x14ac:dyDescent="0.3">
      <c r="A11" s="1" t="s">
        <v>7</v>
      </c>
      <c r="D11" s="2"/>
      <c r="E11" s="2"/>
      <c r="F11" s="2"/>
      <c r="G11" s="2"/>
      <c r="H11" s="2"/>
    </row>
    <row r="12" spans="1:11" x14ac:dyDescent="0.3">
      <c r="A12" s="1" t="s">
        <v>8</v>
      </c>
      <c r="D12" s="2"/>
      <c r="E12" s="2"/>
      <c r="F12" s="2"/>
      <c r="G12" s="2"/>
      <c r="H12" s="2"/>
    </row>
    <row r="13" spans="1:11" x14ac:dyDescent="0.3">
      <c r="A13" s="1" t="s">
        <v>9</v>
      </c>
      <c r="D13" s="2"/>
      <c r="E13" s="2"/>
      <c r="F13" s="2"/>
      <c r="G13" s="2"/>
      <c r="H13" s="2"/>
    </row>
    <row r="14" spans="1:11" x14ac:dyDescent="0.3">
      <c r="A14" s="1" t="s">
        <v>10</v>
      </c>
      <c r="D14" s="2"/>
      <c r="E14" s="2"/>
      <c r="F14" s="2"/>
      <c r="G14" s="2"/>
      <c r="H14" s="2"/>
    </row>
    <row r="15" spans="1:11" x14ac:dyDescent="0.3">
      <c r="A15" s="1" t="s">
        <v>11</v>
      </c>
      <c r="D15" s="2"/>
      <c r="E15" s="2"/>
      <c r="F15" s="2"/>
      <c r="G15" s="2"/>
      <c r="H15" s="2"/>
    </row>
    <row r="16" spans="1:11" x14ac:dyDescent="0.3">
      <c r="A16" s="1" t="s">
        <v>12</v>
      </c>
      <c r="D16" s="2"/>
      <c r="E16" s="2"/>
      <c r="F16" s="2"/>
      <c r="G16" s="2"/>
      <c r="H16" s="2"/>
    </row>
    <row r="17" spans="1:9" x14ac:dyDescent="0.3">
      <c r="A17" s="1" t="s">
        <v>13</v>
      </c>
      <c r="D17" s="2"/>
      <c r="E17" s="2"/>
      <c r="F17" s="2"/>
      <c r="G17" s="2"/>
      <c r="H17" s="2"/>
    </row>
    <row r="18" spans="1:9" x14ac:dyDescent="0.3">
      <c r="A18" s="1" t="s">
        <v>14</v>
      </c>
      <c r="D18" s="2"/>
      <c r="E18" s="2"/>
      <c r="F18" s="2"/>
      <c r="G18" s="2"/>
      <c r="H18" s="2"/>
    </row>
    <row r="19" spans="1:9" x14ac:dyDescent="0.3">
      <c r="A19" s="1" t="s">
        <v>15</v>
      </c>
      <c r="D19" s="2"/>
      <c r="E19" s="2"/>
      <c r="F19" s="2"/>
      <c r="G19" s="2"/>
      <c r="H19" s="2"/>
    </row>
    <row r="20" spans="1:9" s="8" customFormat="1" x14ac:dyDescent="0.3">
      <c r="A20" s="7" t="s">
        <v>16</v>
      </c>
      <c r="B20" s="17">
        <v>0.67670138888888898</v>
      </c>
      <c r="C20" s="17">
        <v>0.67341396604938297</v>
      </c>
      <c r="D20" s="17">
        <v>0.66834158950617295</v>
      </c>
      <c r="E20" s="17">
        <v>0.66464884259259305</v>
      </c>
      <c r="F20" s="17">
        <v>0.65935046296296296</v>
      </c>
      <c r="G20" s="17">
        <v>0.656296913580247</v>
      </c>
      <c r="H20" s="17">
        <v>0.64521458333333304</v>
      </c>
      <c r="I20" s="17">
        <v>0.63069969135802495</v>
      </c>
    </row>
    <row r="21" spans="1:9" x14ac:dyDescent="0.3">
      <c r="A21" s="1" t="s">
        <v>17</v>
      </c>
      <c r="D21" s="2"/>
      <c r="E21" s="2"/>
      <c r="F21" s="2"/>
      <c r="G21" s="2"/>
      <c r="H21" s="2"/>
    </row>
    <row r="22" spans="1:9" x14ac:dyDescent="0.3">
      <c r="A22" s="1" t="s">
        <v>18</v>
      </c>
      <c r="D22" s="2"/>
      <c r="E22" s="2"/>
      <c r="F22" s="2"/>
      <c r="G22" s="2"/>
      <c r="H22" s="2"/>
    </row>
    <row r="23" spans="1:9" x14ac:dyDescent="0.3">
      <c r="A23" s="1" t="s">
        <v>19</v>
      </c>
      <c r="D23" s="2"/>
      <c r="E23" s="2"/>
      <c r="F23" s="2"/>
      <c r="G23" s="2"/>
      <c r="H23" s="2"/>
    </row>
    <row r="24" spans="1:9" x14ac:dyDescent="0.3">
      <c r="A24" s="1" t="s">
        <v>20</v>
      </c>
      <c r="D24" s="2"/>
      <c r="E24" s="2"/>
      <c r="F24" s="2"/>
      <c r="G24" s="2"/>
      <c r="H24" s="2"/>
    </row>
    <row r="25" spans="1:9" x14ac:dyDescent="0.3">
      <c r="A25" s="1" t="s">
        <v>21</v>
      </c>
      <c r="D25" s="2"/>
      <c r="E25" s="2"/>
      <c r="F25" s="2"/>
      <c r="G25" s="2"/>
      <c r="H25" s="2"/>
      <c r="I25" s="2"/>
    </row>
    <row r="26" spans="1:9" x14ac:dyDescent="0.3">
      <c r="A26" s="1" t="s">
        <v>22</v>
      </c>
      <c r="B26" s="2">
        <v>0.67870239197530902</v>
      </c>
      <c r="C26" s="2">
        <v>0.67460763888888897</v>
      </c>
      <c r="D26" s="2">
        <v>0.66873587962962999</v>
      </c>
      <c r="E26" s="2">
        <v>0.66487098765432096</v>
      </c>
      <c r="F26" s="2">
        <v>0.659838580246914</v>
      </c>
      <c r="G26" s="2">
        <v>0.65713834876543198</v>
      </c>
      <c r="H26" s="2">
        <v>0.64758040123456795</v>
      </c>
      <c r="I26" s="2">
        <v>0.63518935185185199</v>
      </c>
    </row>
    <row r="27" spans="1:9" x14ac:dyDescent="0.3">
      <c r="A27" s="1" t="s">
        <v>23</v>
      </c>
      <c r="B27" s="2">
        <v>0.67691836419753104</v>
      </c>
      <c r="C27" s="2">
        <v>0.67492129629629605</v>
      </c>
      <c r="D27" s="2">
        <v>0.671386342592592</v>
      </c>
      <c r="E27" s="2">
        <v>0.66821527777777801</v>
      </c>
      <c r="F27" s="2">
        <v>0.66325200617283997</v>
      </c>
      <c r="G27" s="2">
        <v>0.66046527777777797</v>
      </c>
      <c r="H27" s="2">
        <v>0.65062862654320996</v>
      </c>
      <c r="I27" s="2">
        <v>0.63519205246913601</v>
      </c>
    </row>
    <row r="28" spans="1:9" s="8" customFormat="1" x14ac:dyDescent="0.3">
      <c r="A28" s="7" t="s">
        <v>24</v>
      </c>
      <c r="B28" s="9">
        <v>0.68008942901234604</v>
      </c>
      <c r="C28" s="9">
        <v>0.67809899691358</v>
      </c>
      <c r="D28" s="17">
        <v>0.67474475308642001</v>
      </c>
      <c r="E28" s="17">
        <v>0.67140231481481505</v>
      </c>
      <c r="F28" s="17">
        <v>0.66480208333333302</v>
      </c>
      <c r="G28" s="17">
        <v>0.66017901234567899</v>
      </c>
      <c r="H28" s="17">
        <v>0.64354228395061697</v>
      </c>
      <c r="I28" s="17">
        <v>0.62852831790123498</v>
      </c>
    </row>
    <row r="29" spans="1:9" x14ac:dyDescent="0.3">
      <c r="A29" s="1" t="s">
        <v>25</v>
      </c>
      <c r="B29" s="2">
        <v>0.675788811728395</v>
      </c>
      <c r="C29" s="2">
        <v>0.67071026234567899</v>
      </c>
      <c r="D29" s="2">
        <v>0.66432152777777798</v>
      </c>
      <c r="E29" s="2">
        <v>0.66050424382716</v>
      </c>
      <c r="F29" s="2">
        <v>0.65609506172839505</v>
      </c>
      <c r="G29" s="2">
        <v>0.65396157407407396</v>
      </c>
      <c r="H29" s="2">
        <v>0.64660748456790096</v>
      </c>
      <c r="I29" s="2">
        <v>0.63442299382716105</v>
      </c>
    </row>
    <row r="30" spans="1:9" x14ac:dyDescent="0.3">
      <c r="A30" s="1" t="s">
        <v>26</v>
      </c>
      <c r="B30" s="2">
        <v>0.67709112654321002</v>
      </c>
      <c r="C30" s="2">
        <v>0.67544398148148099</v>
      </c>
      <c r="D30" s="2">
        <v>0.67134375000000002</v>
      </c>
      <c r="E30" s="2">
        <v>0.66736859567901197</v>
      </c>
      <c r="F30" s="2">
        <v>0.66111859567901199</v>
      </c>
      <c r="G30" s="2">
        <v>0.65784930555555499</v>
      </c>
      <c r="H30" s="6">
        <v>0.64928958333333298</v>
      </c>
      <c r="I30" s="6">
        <v>0.64002245370370403</v>
      </c>
    </row>
    <row r="31" spans="1:9" x14ac:dyDescent="0.3">
      <c r="A31" s="1" t="s">
        <v>27</v>
      </c>
      <c r="B31" s="2">
        <v>0.67706288580246898</v>
      </c>
      <c r="C31" s="2">
        <v>0.67693834876543202</v>
      </c>
      <c r="D31" s="6">
        <v>0.67601203703703705</v>
      </c>
      <c r="E31" s="6">
        <v>0.67407554012345705</v>
      </c>
      <c r="F31" s="6">
        <v>0.66833927469135801</v>
      </c>
      <c r="G31" s="6">
        <v>0.66336334876543201</v>
      </c>
      <c r="H31" s="2">
        <v>0.64156728395061702</v>
      </c>
      <c r="I31" s="2">
        <v>0.61854853395061704</v>
      </c>
    </row>
    <row r="32" spans="1:9" s="8" customFormat="1" x14ac:dyDescent="0.3">
      <c r="A32" s="7" t="s">
        <v>28</v>
      </c>
      <c r="B32" s="17">
        <v>0.63883935185185203</v>
      </c>
      <c r="C32" s="17">
        <v>0.63883935185185203</v>
      </c>
      <c r="D32" s="17">
        <v>0.63883935185185203</v>
      </c>
      <c r="E32" s="17">
        <v>0.63883927469135804</v>
      </c>
      <c r="F32" s="17">
        <v>0.638833796296296</v>
      </c>
      <c r="G32" s="17">
        <v>0.63881412037037</v>
      </c>
      <c r="H32" s="17">
        <v>0.63800146604938301</v>
      </c>
      <c r="I32" s="17">
        <v>0.63214089506172799</v>
      </c>
    </row>
    <row r="33" spans="1:9" x14ac:dyDescent="0.3">
      <c r="A33" s="1" t="s">
        <v>29</v>
      </c>
      <c r="B33" s="2">
        <v>0.61991450617284005</v>
      </c>
      <c r="C33" s="2">
        <v>0.61991450617284005</v>
      </c>
      <c r="D33" s="2">
        <v>0.61991450617284005</v>
      </c>
      <c r="E33" s="2">
        <v>0.61991450617284005</v>
      </c>
      <c r="F33" s="2">
        <v>0.61991450617284005</v>
      </c>
      <c r="G33" s="2">
        <v>0.61991450617284005</v>
      </c>
      <c r="H33" s="2">
        <v>0.61991450617284005</v>
      </c>
      <c r="I33" s="2">
        <v>0.61989922839506195</v>
      </c>
    </row>
    <row r="34" spans="1:9" s="8" customFormat="1" x14ac:dyDescent="0.3">
      <c r="A34" s="7" t="s">
        <v>30</v>
      </c>
      <c r="B34" s="18">
        <v>0.52131273148148205</v>
      </c>
      <c r="C34" s="18">
        <v>0.52131273148148205</v>
      </c>
      <c r="D34" s="18">
        <v>0.52131273148148205</v>
      </c>
      <c r="E34" s="18">
        <v>0.52131273148148205</v>
      </c>
      <c r="F34" s="18">
        <v>0.52131273148148205</v>
      </c>
      <c r="G34" s="18">
        <v>0.52131273148148205</v>
      </c>
      <c r="H34" s="18">
        <v>0.52131273148148205</v>
      </c>
      <c r="I34" s="18">
        <v>0.52131273148148205</v>
      </c>
    </row>
    <row r="35" spans="1:9" x14ac:dyDescent="0.3">
      <c r="A35" s="1" t="s">
        <v>31</v>
      </c>
      <c r="B35" s="19">
        <v>0.49675239197530902</v>
      </c>
      <c r="C35" s="19">
        <v>0.49675239197530902</v>
      </c>
      <c r="D35" s="19">
        <v>0.49675239197530902</v>
      </c>
      <c r="E35" s="19">
        <v>0.49675239197530902</v>
      </c>
      <c r="F35" s="19">
        <v>0.49675239197530902</v>
      </c>
      <c r="G35" s="19">
        <v>0.49675239197530902</v>
      </c>
      <c r="H35" s="19">
        <v>0.49675239197530902</v>
      </c>
      <c r="I35" s="2">
        <v>0.49675239197530902</v>
      </c>
    </row>
    <row r="36" spans="1:9" s="13" customFormat="1" x14ac:dyDescent="0.3">
      <c r="A36" s="11" t="s">
        <v>68</v>
      </c>
      <c r="B36" s="12">
        <f>AVERAGE(B4:B35)</f>
        <v>0.64115841692386843</v>
      </c>
      <c r="C36" s="12">
        <f t="shared" ref="C36:I36" si="0">AVERAGE(C4:C35)</f>
        <v>0.63938841306584371</v>
      </c>
      <c r="D36" s="12">
        <f t="shared" si="0"/>
        <v>0.6365611368312758</v>
      </c>
      <c r="E36" s="12">
        <f t="shared" si="0"/>
        <v>0.63426925797325118</v>
      </c>
      <c r="F36" s="12">
        <f t="shared" si="0"/>
        <v>0.63061130401234566</v>
      </c>
      <c r="G36" s="12">
        <f t="shared" si="0"/>
        <v>0.6283626350308642</v>
      </c>
      <c r="H36" s="12">
        <f t="shared" si="0"/>
        <v>0.62022972608024696</v>
      </c>
      <c r="I36" s="12">
        <f t="shared" si="0"/>
        <v>0.61005393518518536</v>
      </c>
    </row>
    <row r="38" spans="1:9" x14ac:dyDescent="0.3">
      <c r="A38" s="1"/>
    </row>
    <row r="39" spans="1:9" x14ac:dyDescent="0.3">
      <c r="A39" s="1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5" spans="1:9" x14ac:dyDescent="0.3">
      <c r="A45" s="38" t="s">
        <v>67</v>
      </c>
      <c r="B45" s="38"/>
    </row>
    <row r="46" spans="1:9" x14ac:dyDescent="0.3">
      <c r="B46"/>
    </row>
  </sheetData>
  <mergeCells count="1">
    <mergeCell ref="A45:B45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62F1-E673-4885-BE8A-A07F5D4EEEF9}">
  <dimension ref="A1:K47"/>
  <sheetViews>
    <sheetView topLeftCell="A17" zoomScale="115" zoomScaleNormal="115" workbookViewId="0">
      <selection activeCell="G2" sqref="G2"/>
    </sheetView>
  </sheetViews>
  <sheetFormatPr defaultRowHeight="14" x14ac:dyDescent="0.3"/>
  <cols>
    <col min="1" max="1" width="13.33203125" customWidth="1"/>
    <col min="2" max="3" width="8.6640625" style="2"/>
    <col min="7" max="7" width="8.6640625" style="13"/>
  </cols>
  <sheetData>
    <row r="1" spans="1:11" x14ac:dyDescent="0.3">
      <c r="A1" t="s">
        <v>66</v>
      </c>
      <c r="B1" s="16">
        <v>20000</v>
      </c>
      <c r="C1" s="16">
        <v>15000</v>
      </c>
      <c r="D1" s="16">
        <v>10000</v>
      </c>
      <c r="E1" s="16">
        <v>7500</v>
      </c>
      <c r="F1" s="16">
        <v>5000</v>
      </c>
      <c r="G1" s="28">
        <v>4000</v>
      </c>
      <c r="H1" s="16">
        <v>2000</v>
      </c>
      <c r="I1" s="16">
        <v>1000</v>
      </c>
    </row>
    <row r="2" spans="1:11" x14ac:dyDescent="0.3">
      <c r="A2" s="3" t="s">
        <v>32</v>
      </c>
      <c r="B2" s="20">
        <v>0.57920030864197503</v>
      </c>
      <c r="C2" s="20">
        <v>0.57920030864197503</v>
      </c>
      <c r="D2" s="20">
        <v>0.57920030864197503</v>
      </c>
      <c r="E2" s="20">
        <v>0.57920030864197503</v>
      </c>
      <c r="F2" s="20">
        <v>0.57920030864197503</v>
      </c>
      <c r="G2" s="29">
        <v>0.57920030864197503</v>
      </c>
      <c r="H2" s="20">
        <v>0.57920030864197503</v>
      </c>
      <c r="I2" s="20">
        <v>0.57920030864197503</v>
      </c>
      <c r="J2" s="14"/>
      <c r="K2" s="14"/>
    </row>
    <row r="3" spans="1:11" x14ac:dyDescent="0.3">
      <c r="A3" s="3" t="s">
        <v>33</v>
      </c>
      <c r="B3" s="21">
        <v>0.48784591049382697</v>
      </c>
      <c r="C3" s="21">
        <v>0.48784591049382697</v>
      </c>
      <c r="D3" s="21">
        <v>0.48784591049382697</v>
      </c>
      <c r="E3" s="21">
        <v>0.48784591049382697</v>
      </c>
      <c r="F3" s="21">
        <v>0.48784591049382697</v>
      </c>
      <c r="G3" s="30">
        <v>0.48784591049382697</v>
      </c>
      <c r="H3" s="21">
        <v>0.48784591049382697</v>
      </c>
      <c r="I3" s="21">
        <v>0.48784591049382697</v>
      </c>
      <c r="J3" s="15"/>
      <c r="K3" s="15"/>
    </row>
    <row r="4" spans="1:11" s="8" customFormat="1" x14ac:dyDescent="0.3">
      <c r="A4" s="10" t="s">
        <v>0</v>
      </c>
      <c r="B4" s="17">
        <v>0.69033441358024705</v>
      </c>
      <c r="C4" s="17">
        <v>0.68757137345678998</v>
      </c>
      <c r="D4" s="17">
        <v>0.68307384259259296</v>
      </c>
      <c r="E4" s="17">
        <v>0.67950231481481504</v>
      </c>
      <c r="F4" s="17">
        <v>0.673932484567901</v>
      </c>
      <c r="G4" s="31">
        <v>0.670652546296296</v>
      </c>
      <c r="H4" s="17">
        <v>0.65909367283950604</v>
      </c>
      <c r="I4" s="17">
        <v>0.644065277777778</v>
      </c>
    </row>
    <row r="5" spans="1:11" x14ac:dyDescent="0.3">
      <c r="A5" s="1" t="s">
        <v>1</v>
      </c>
      <c r="D5" s="2"/>
      <c r="E5" s="2"/>
      <c r="F5" s="2"/>
      <c r="G5" s="27"/>
      <c r="H5" s="2"/>
    </row>
    <row r="6" spans="1:11" x14ac:dyDescent="0.3">
      <c r="A6" s="1" t="s">
        <v>2</v>
      </c>
      <c r="D6" s="2"/>
      <c r="E6" s="2"/>
      <c r="F6" s="2"/>
      <c r="G6" s="27"/>
      <c r="H6" s="2"/>
    </row>
    <row r="7" spans="1:11" x14ac:dyDescent="0.3">
      <c r="A7" s="1" t="s">
        <v>3</v>
      </c>
      <c r="D7" s="2"/>
      <c r="E7" s="2"/>
      <c r="F7" s="2"/>
      <c r="G7" s="27"/>
      <c r="H7" s="2"/>
    </row>
    <row r="8" spans="1:11" x14ac:dyDescent="0.3">
      <c r="A8" s="1" t="s">
        <v>4</v>
      </c>
      <c r="D8" s="2"/>
      <c r="E8" s="2"/>
      <c r="F8" s="2"/>
      <c r="G8" s="27"/>
      <c r="H8" s="2"/>
    </row>
    <row r="9" spans="1:11" x14ac:dyDescent="0.3">
      <c r="A9" s="1" t="s">
        <v>5</v>
      </c>
      <c r="D9" s="2"/>
      <c r="E9" s="2"/>
      <c r="F9" s="2"/>
      <c r="G9" s="27"/>
      <c r="H9" s="2"/>
    </row>
    <row r="10" spans="1:11" x14ac:dyDescent="0.3">
      <c r="A10" s="1" t="s">
        <v>6</v>
      </c>
      <c r="D10" s="2"/>
      <c r="E10" s="2"/>
      <c r="F10" s="2"/>
      <c r="G10" s="27"/>
      <c r="H10" s="2"/>
    </row>
    <row r="11" spans="1:11" x14ac:dyDescent="0.3">
      <c r="A11" s="1" t="s">
        <v>7</v>
      </c>
      <c r="D11" s="2"/>
      <c r="E11" s="2"/>
      <c r="F11" s="2"/>
      <c r="G11" s="27"/>
      <c r="H11" s="2"/>
    </row>
    <row r="12" spans="1:11" x14ac:dyDescent="0.3">
      <c r="A12" s="1" t="s">
        <v>8</v>
      </c>
      <c r="D12" s="2"/>
      <c r="E12" s="2"/>
      <c r="F12" s="2"/>
      <c r="G12" s="27"/>
      <c r="H12" s="2"/>
    </row>
    <row r="13" spans="1:11" x14ac:dyDescent="0.3">
      <c r="A13" s="1" t="s">
        <v>9</v>
      </c>
      <c r="D13" s="2"/>
      <c r="E13" s="2"/>
      <c r="F13" s="2"/>
      <c r="G13" s="27"/>
      <c r="H13" s="2"/>
    </row>
    <row r="14" spans="1:11" x14ac:dyDescent="0.3">
      <c r="A14" s="1" t="s">
        <v>10</v>
      </c>
      <c r="D14" s="2"/>
      <c r="E14" s="2"/>
      <c r="F14" s="2"/>
      <c r="G14" s="27"/>
      <c r="H14" s="2"/>
    </row>
    <row r="15" spans="1:11" x14ac:dyDescent="0.3">
      <c r="A15" s="1" t="s">
        <v>11</v>
      </c>
      <c r="D15" s="2"/>
      <c r="E15" s="2"/>
      <c r="F15" s="2"/>
      <c r="G15" s="27"/>
      <c r="H15" s="2"/>
    </row>
    <row r="16" spans="1:11" x14ac:dyDescent="0.3">
      <c r="A16" s="1" t="s">
        <v>12</v>
      </c>
      <c r="D16" s="2"/>
      <c r="E16" s="2"/>
      <c r="F16" s="2"/>
      <c r="G16" s="27"/>
      <c r="H16" s="2"/>
    </row>
    <row r="17" spans="1:9" x14ac:dyDescent="0.3">
      <c r="A17" s="1" t="s">
        <v>13</v>
      </c>
      <c r="D17" s="2"/>
      <c r="E17" s="2"/>
      <c r="F17" s="2"/>
      <c r="G17" s="27"/>
      <c r="H17" s="2"/>
    </row>
    <row r="18" spans="1:9" x14ac:dyDescent="0.3">
      <c r="A18" s="1" t="s">
        <v>14</v>
      </c>
      <c r="D18" s="2"/>
      <c r="E18" s="2"/>
      <c r="F18" s="2"/>
      <c r="G18" s="27"/>
      <c r="H18" s="2"/>
    </row>
    <row r="19" spans="1:9" x14ac:dyDescent="0.3">
      <c r="A19" s="1" t="s">
        <v>15</v>
      </c>
      <c r="D19" s="2"/>
      <c r="E19" s="2"/>
      <c r="F19" s="2"/>
      <c r="G19" s="27"/>
      <c r="H19" s="2"/>
    </row>
    <row r="20" spans="1:9" s="8" customFormat="1" x14ac:dyDescent="0.3">
      <c r="A20" s="7" t="s">
        <v>16</v>
      </c>
      <c r="B20" s="17">
        <v>0.69360856481481503</v>
      </c>
      <c r="C20" s="17">
        <v>0.69134845679012402</v>
      </c>
      <c r="D20" s="17">
        <v>0.68790763888888895</v>
      </c>
      <c r="E20" s="17">
        <v>0.68490679012345701</v>
      </c>
      <c r="F20" s="17">
        <v>0.67978256172839502</v>
      </c>
      <c r="G20" s="31">
        <v>0.67658402777777804</v>
      </c>
      <c r="H20" s="17">
        <v>0.66458194444444396</v>
      </c>
      <c r="I20" s="17">
        <v>0.65053202160493795</v>
      </c>
    </row>
    <row r="21" spans="1:9" x14ac:dyDescent="0.3">
      <c r="A21" s="1" t="s">
        <v>17</v>
      </c>
      <c r="D21" s="2"/>
      <c r="E21" s="2"/>
      <c r="F21" s="2"/>
      <c r="G21" s="27"/>
      <c r="H21" s="2"/>
    </row>
    <row r="22" spans="1:9" x14ac:dyDescent="0.3">
      <c r="A22" s="1" t="s">
        <v>18</v>
      </c>
      <c r="D22" s="2"/>
      <c r="E22" s="2"/>
      <c r="F22" s="2"/>
      <c r="G22" s="27"/>
      <c r="H22" s="2"/>
    </row>
    <row r="23" spans="1:9" x14ac:dyDescent="0.3">
      <c r="A23" s="1" t="s">
        <v>19</v>
      </c>
      <c r="D23" s="2"/>
      <c r="E23" s="2"/>
      <c r="F23" s="2"/>
      <c r="G23" s="27"/>
      <c r="H23" s="2"/>
    </row>
    <row r="24" spans="1:9" x14ac:dyDescent="0.3">
      <c r="A24" s="1" t="s">
        <v>20</v>
      </c>
      <c r="D24" s="2"/>
      <c r="E24" s="2"/>
      <c r="F24" s="2"/>
      <c r="G24" s="27"/>
      <c r="H24" s="2"/>
    </row>
    <row r="25" spans="1:9" x14ac:dyDescent="0.3">
      <c r="A25" s="1" t="s">
        <v>21</v>
      </c>
      <c r="D25" s="2"/>
      <c r="E25" s="2"/>
      <c r="F25" s="2"/>
      <c r="G25" s="27"/>
      <c r="H25" s="2"/>
      <c r="I25" s="2"/>
    </row>
    <row r="26" spans="1:9" x14ac:dyDescent="0.3">
      <c r="A26" s="1" t="s">
        <v>22</v>
      </c>
      <c r="B26" s="2">
        <v>0.69593811728395105</v>
      </c>
      <c r="C26" s="2">
        <v>0.69359861111111099</v>
      </c>
      <c r="D26" s="2">
        <v>0.69026165123456795</v>
      </c>
      <c r="E26" s="2">
        <v>0.68757044753086405</v>
      </c>
      <c r="F26" s="2">
        <v>0.68252075617284003</v>
      </c>
      <c r="G26" s="27">
        <v>0.67909699074074104</v>
      </c>
      <c r="H26" s="2">
        <v>0.66731905864197505</v>
      </c>
      <c r="I26" s="2">
        <v>0.65482067901234597</v>
      </c>
    </row>
    <row r="27" spans="1:9" x14ac:dyDescent="0.3">
      <c r="A27" s="1" t="s">
        <v>23</v>
      </c>
      <c r="B27" s="2">
        <v>0.697103780864198</v>
      </c>
      <c r="C27" s="2">
        <v>0.69411396604938302</v>
      </c>
      <c r="D27" s="2">
        <v>0.68951149691358005</v>
      </c>
      <c r="E27" s="2">
        <v>0.68637723765432102</v>
      </c>
      <c r="F27" s="2">
        <v>0.68205092592592598</v>
      </c>
      <c r="G27" s="27">
        <v>0.67953695987654295</v>
      </c>
      <c r="H27" s="2">
        <v>0.66853279320987702</v>
      </c>
      <c r="I27" s="2">
        <v>0.65230192901234596</v>
      </c>
    </row>
    <row r="28" spans="1:9" s="8" customFormat="1" x14ac:dyDescent="0.3">
      <c r="A28" s="7" t="s">
        <v>24</v>
      </c>
      <c r="B28" s="9">
        <v>0.69720763888888904</v>
      </c>
      <c r="C28" s="17">
        <v>0.69526134259259298</v>
      </c>
      <c r="D28" s="9">
        <v>0.69121126543209899</v>
      </c>
      <c r="E28" s="17">
        <v>0.68714344135802496</v>
      </c>
      <c r="F28" s="17">
        <v>0.68033425925925906</v>
      </c>
      <c r="G28" s="31">
        <v>0.67656674382716098</v>
      </c>
      <c r="H28" s="17">
        <v>0.66621442901234595</v>
      </c>
      <c r="I28" s="9">
        <v>0.65559259259259295</v>
      </c>
    </row>
    <row r="29" spans="1:9" x14ac:dyDescent="0.3">
      <c r="A29" s="1" t="s">
        <v>25</v>
      </c>
      <c r="B29" s="2">
        <v>0.69338942901234601</v>
      </c>
      <c r="C29" s="2">
        <v>0.69103371913580303</v>
      </c>
      <c r="D29" s="2">
        <v>0.68822592592592602</v>
      </c>
      <c r="E29" s="2">
        <v>0.68638765432098803</v>
      </c>
      <c r="F29" s="6">
        <v>0.68316813271605004</v>
      </c>
      <c r="G29" s="32">
        <v>0.68059992283950599</v>
      </c>
      <c r="H29" s="2">
        <v>0.66747723765432099</v>
      </c>
      <c r="I29" s="2">
        <v>0.65182978395061697</v>
      </c>
    </row>
    <row r="30" spans="1:9" x14ac:dyDescent="0.3">
      <c r="A30" s="1" t="s">
        <v>26</v>
      </c>
      <c r="B30" s="2">
        <v>0.69704097222222205</v>
      </c>
      <c r="C30" s="2">
        <v>0.69289891975308604</v>
      </c>
      <c r="D30" s="2">
        <v>0.68685385802469101</v>
      </c>
      <c r="E30" s="2">
        <v>0.68283657407407405</v>
      </c>
      <c r="F30" s="2">
        <v>0.67800686728395099</v>
      </c>
      <c r="G30" s="27">
        <v>0.67580131172839497</v>
      </c>
      <c r="H30" s="6">
        <v>0.66935578703703702</v>
      </c>
      <c r="I30" s="2">
        <v>0.65697021604938299</v>
      </c>
    </row>
    <row r="31" spans="1:9" x14ac:dyDescent="0.3">
      <c r="A31" s="1" t="s">
        <v>27</v>
      </c>
      <c r="B31" s="2">
        <v>0.69683873456790102</v>
      </c>
      <c r="C31" s="6">
        <v>0.69603557098765401</v>
      </c>
      <c r="D31" s="2">
        <v>0.69306836419753104</v>
      </c>
      <c r="E31" s="6">
        <v>0.68891712962963003</v>
      </c>
      <c r="F31" s="2">
        <v>0.67993294753086397</v>
      </c>
      <c r="G31" s="27">
        <v>0.67385424382715997</v>
      </c>
      <c r="H31" s="2">
        <v>0.65513989197530897</v>
      </c>
      <c r="I31" s="2">
        <v>0.64135223765432103</v>
      </c>
    </row>
    <row r="32" spans="1:9" s="8" customFormat="1" x14ac:dyDescent="0.3">
      <c r="A32" s="7" t="s">
        <v>28</v>
      </c>
      <c r="B32" s="17">
        <v>0.67240624999999998</v>
      </c>
      <c r="C32" s="17">
        <v>0.67240609567901199</v>
      </c>
      <c r="D32" s="17">
        <v>0.67240740740740701</v>
      </c>
      <c r="E32" s="17">
        <v>0.67239753086419796</v>
      </c>
      <c r="F32" s="17">
        <v>0.67230532407407395</v>
      </c>
      <c r="G32" s="31">
        <v>0.67211697530864201</v>
      </c>
      <c r="H32" s="17">
        <v>0.66798194444444403</v>
      </c>
      <c r="I32" s="17">
        <v>0.65045748456790098</v>
      </c>
    </row>
    <row r="33" spans="1:9" x14ac:dyDescent="0.3">
      <c r="A33" s="1" t="s">
        <v>29</v>
      </c>
      <c r="B33" s="2">
        <v>0.63764498456790097</v>
      </c>
      <c r="C33" s="2">
        <v>0.63764498456790097</v>
      </c>
      <c r="D33" s="2">
        <v>0.63764498456790097</v>
      </c>
      <c r="E33" s="2">
        <v>0.63764498456790097</v>
      </c>
      <c r="F33" s="2">
        <v>0.63764498456790097</v>
      </c>
      <c r="G33" s="27">
        <v>0.63764498456790097</v>
      </c>
      <c r="H33" s="2">
        <v>0.63764444444444501</v>
      </c>
      <c r="I33" s="2">
        <v>0.63751666666666695</v>
      </c>
    </row>
    <row r="34" spans="1:9" s="8" customFormat="1" x14ac:dyDescent="0.3">
      <c r="A34" s="7" t="s">
        <v>30</v>
      </c>
      <c r="B34" s="18">
        <v>0.59277962962963004</v>
      </c>
      <c r="C34" s="18">
        <v>0.59277962962963004</v>
      </c>
      <c r="D34" s="18">
        <v>0.59277962962963004</v>
      </c>
      <c r="E34" s="18">
        <v>0.59277962962963004</v>
      </c>
      <c r="F34" s="18">
        <v>0.59277962962963004</v>
      </c>
      <c r="G34" s="33">
        <v>0.59277962962963004</v>
      </c>
      <c r="H34" s="18">
        <v>0.59277962962963004</v>
      </c>
      <c r="I34" s="18">
        <v>0.59277962962963004</v>
      </c>
    </row>
    <row r="35" spans="1:9" x14ac:dyDescent="0.3">
      <c r="A35" s="1" t="s">
        <v>31</v>
      </c>
      <c r="B35" s="19">
        <v>0.48814737654321</v>
      </c>
      <c r="C35" s="19">
        <v>0.48814737654321</v>
      </c>
      <c r="D35" s="19">
        <v>0.48814737654321</v>
      </c>
      <c r="E35" s="19">
        <v>0.48814737654321</v>
      </c>
      <c r="F35" s="19">
        <v>0.48814737654321</v>
      </c>
      <c r="G35" s="12">
        <v>0.48814737654321</v>
      </c>
      <c r="H35" s="19">
        <v>0.48814737654321</v>
      </c>
      <c r="I35" s="2">
        <v>0.48814737654321</v>
      </c>
    </row>
    <row r="36" spans="1:9" s="13" customFormat="1" x14ac:dyDescent="0.3">
      <c r="A36" s="11" t="s">
        <v>68</v>
      </c>
      <c r="B36" s="12">
        <f>AVERAGE(B4:B35)</f>
        <v>0.66270332433127588</v>
      </c>
      <c r="C36" s="12">
        <f t="shared" ref="C36:I36" si="0">AVERAGE(C4:C35)</f>
        <v>0.66107000385802472</v>
      </c>
      <c r="D36" s="12">
        <f t="shared" si="0"/>
        <v>0.65842445344650202</v>
      </c>
      <c r="E36" s="12">
        <f t="shared" si="0"/>
        <v>0.65621759259259271</v>
      </c>
      <c r="F36" s="12">
        <f t="shared" si="0"/>
        <v>0.65255052083333343</v>
      </c>
      <c r="G36" s="12">
        <f t="shared" si="0"/>
        <v>0.65028180941358016</v>
      </c>
      <c r="H36" s="12">
        <f t="shared" si="0"/>
        <v>0.64202235082304526</v>
      </c>
      <c r="I36" s="12">
        <f t="shared" si="0"/>
        <v>0.63136382458847751</v>
      </c>
    </row>
    <row r="37" spans="1:9" s="13" customFormat="1" x14ac:dyDescent="0.3">
      <c r="A37" s="11" t="s">
        <v>69</v>
      </c>
      <c r="B37" s="12">
        <f>MAX(B4,B20,B26:B35)</f>
        <v>0.69720763888888904</v>
      </c>
      <c r="C37" s="12">
        <f t="shared" ref="C37:I37" si="1">MAX(C4,C20,C26:C35)</f>
        <v>0.69603557098765401</v>
      </c>
      <c r="D37" s="12">
        <f t="shared" si="1"/>
        <v>0.69306836419753104</v>
      </c>
      <c r="E37" s="12">
        <f t="shared" si="1"/>
        <v>0.68891712962963003</v>
      </c>
      <c r="F37" s="12">
        <f t="shared" si="1"/>
        <v>0.68316813271605004</v>
      </c>
      <c r="G37" s="12">
        <f t="shared" si="1"/>
        <v>0.68059992283950599</v>
      </c>
      <c r="H37" s="12">
        <f t="shared" si="1"/>
        <v>0.66935578703703702</v>
      </c>
      <c r="I37" s="12">
        <f t="shared" si="1"/>
        <v>0.65697021604938299</v>
      </c>
    </row>
    <row r="38" spans="1:9" x14ac:dyDescent="0.3">
      <c r="A38" s="11" t="s">
        <v>70</v>
      </c>
      <c r="B38" s="27">
        <f>MIN(B4,B20,B26:B35)</f>
        <v>0.48814737654321</v>
      </c>
      <c r="C38" s="27">
        <f t="shared" ref="C38:I38" si="2">MIN(C4,C20,C26:C35)</f>
        <v>0.48814737654321</v>
      </c>
      <c r="D38" s="27">
        <f t="shared" si="2"/>
        <v>0.48814737654321</v>
      </c>
      <c r="E38" s="27">
        <f t="shared" si="2"/>
        <v>0.48814737654321</v>
      </c>
      <c r="F38" s="27">
        <f t="shared" si="2"/>
        <v>0.48814737654321</v>
      </c>
      <c r="G38" s="27">
        <f t="shared" si="2"/>
        <v>0.48814737654321</v>
      </c>
      <c r="H38" s="27">
        <f t="shared" si="2"/>
        <v>0.48814737654321</v>
      </c>
      <c r="I38" s="27">
        <f t="shared" si="2"/>
        <v>0.48814737654321</v>
      </c>
    </row>
    <row r="39" spans="1:9" x14ac:dyDescent="0.3">
      <c r="A39" s="38" t="s">
        <v>67</v>
      </c>
      <c r="B39" s="38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7" spans="1:9" x14ac:dyDescent="0.3">
      <c r="B47"/>
    </row>
  </sheetData>
  <mergeCells count="1">
    <mergeCell ref="A39:B39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1BCB-4C29-4E2B-92D3-904DF1D6D07E}">
  <dimension ref="A1:N35"/>
  <sheetViews>
    <sheetView workbookViewId="0">
      <selection activeCell="D6" sqref="D6"/>
    </sheetView>
  </sheetViews>
  <sheetFormatPr defaultRowHeight="14" x14ac:dyDescent="0.3"/>
  <cols>
    <col min="1" max="1" width="12.58203125" customWidth="1"/>
  </cols>
  <sheetData>
    <row r="1" spans="1:14" x14ac:dyDescent="0.3">
      <c r="B1">
        <v>20000</v>
      </c>
      <c r="C1">
        <v>15000</v>
      </c>
      <c r="D1">
        <v>10000</v>
      </c>
      <c r="E1">
        <v>5000</v>
      </c>
      <c r="F1">
        <v>4000</v>
      </c>
      <c r="G1">
        <v>2000</v>
      </c>
      <c r="H1">
        <v>1000</v>
      </c>
      <c r="I1">
        <v>700</v>
      </c>
      <c r="J1">
        <v>500</v>
      </c>
      <c r="K1">
        <v>200</v>
      </c>
      <c r="L1">
        <v>150</v>
      </c>
      <c r="M1">
        <v>100</v>
      </c>
      <c r="N1">
        <v>50</v>
      </c>
    </row>
    <row r="2" spans="1:14" s="2" customFormat="1" x14ac:dyDescent="0.3">
      <c r="A2" t="s">
        <v>32</v>
      </c>
      <c r="B2" s="4">
        <v>0.674549768518518</v>
      </c>
    </row>
    <row r="3" spans="1:14" s="2" customFormat="1" x14ac:dyDescent="0.3">
      <c r="A3" t="s">
        <v>33</v>
      </c>
      <c r="B3" s="5">
        <v>0.618496141975308</v>
      </c>
    </row>
    <row r="4" spans="1:14" s="2" customFormat="1" x14ac:dyDescent="0.3">
      <c r="A4" t="s">
        <v>63</v>
      </c>
      <c r="B4" s="5"/>
    </row>
    <row r="5" spans="1:14" s="2" customFormat="1" x14ac:dyDescent="0.3">
      <c r="A5" t="s">
        <v>64</v>
      </c>
      <c r="B5" s="5"/>
    </row>
    <row r="6" spans="1:14" s="2" customFormat="1" x14ac:dyDescent="0.3">
      <c r="A6" t="s">
        <v>65</v>
      </c>
      <c r="B6" s="5"/>
    </row>
    <row r="7" spans="1:14" x14ac:dyDescent="0.3">
      <c r="A7" t="s">
        <v>34</v>
      </c>
      <c r="B7" s="2">
        <v>0.73127384259259198</v>
      </c>
    </row>
    <row r="8" spans="1:14" x14ac:dyDescent="0.3">
      <c r="A8" t="s">
        <v>35</v>
      </c>
      <c r="B8" s="2"/>
    </row>
    <row r="9" spans="1:14" x14ac:dyDescent="0.3">
      <c r="A9" t="s">
        <v>36</v>
      </c>
      <c r="B9" s="2"/>
    </row>
    <row r="10" spans="1:14" x14ac:dyDescent="0.3">
      <c r="A10" t="s">
        <v>37</v>
      </c>
    </row>
    <row r="11" spans="1:14" x14ac:dyDescent="0.3">
      <c r="A11" t="s">
        <v>38</v>
      </c>
    </row>
    <row r="12" spans="1:14" x14ac:dyDescent="0.3">
      <c r="A12" t="s">
        <v>39</v>
      </c>
    </row>
    <row r="13" spans="1:14" x14ac:dyDescent="0.3">
      <c r="A13" t="s">
        <v>40</v>
      </c>
    </row>
    <row r="14" spans="1:14" x14ac:dyDescent="0.3">
      <c r="A14" t="s">
        <v>41</v>
      </c>
    </row>
    <row r="15" spans="1:14" x14ac:dyDescent="0.3">
      <c r="A15" t="s">
        <v>42</v>
      </c>
    </row>
    <row r="16" spans="1:14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4" x14ac:dyDescent="0.3">
      <c r="A33" t="s">
        <v>60</v>
      </c>
    </row>
    <row r="34" spans="1:14" x14ac:dyDescent="0.3">
      <c r="A34" t="s">
        <v>61</v>
      </c>
    </row>
    <row r="35" spans="1:14" x14ac:dyDescent="0.3">
      <c r="A35" t="s">
        <v>62</v>
      </c>
      <c r="B35" s="2">
        <v>0.72696597222222203</v>
      </c>
      <c r="C35" s="2">
        <v>0.72423595679012298</v>
      </c>
      <c r="D35" s="2">
        <v>0.71994776234567903</v>
      </c>
      <c r="E35" s="6">
        <v>0.71126466049382697</v>
      </c>
      <c r="F35" s="2">
        <v>0.70804930555555501</v>
      </c>
      <c r="G35" s="2">
        <v>0.69652260802469101</v>
      </c>
      <c r="H35" s="2">
        <v>0.68269475308641903</v>
      </c>
      <c r="I35" s="4">
        <v>0.67463641975308597</v>
      </c>
      <c r="J35" s="2">
        <v>0.66634791666666604</v>
      </c>
      <c r="K35" s="2">
        <v>0.64133657407407396</v>
      </c>
      <c r="L35" s="2">
        <v>0.63232391975308599</v>
      </c>
      <c r="M35" s="5">
        <v>0.61838804012345605</v>
      </c>
      <c r="N35" s="2">
        <v>0.589176543209876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E1_005</vt:lpstr>
      <vt:lpstr>E1_01</vt:lpstr>
      <vt:lpstr>E1_015</vt:lpstr>
      <vt:lpstr>E1_02</vt:lpstr>
      <vt:lpstr>E1_035</vt:lpstr>
      <vt:lpstr>D1_005</vt:lpstr>
      <vt:lpstr>D1_01</vt:lpstr>
      <vt:lpstr>D1_015</vt:lpstr>
      <vt:lpstr>D1_02</vt:lpstr>
      <vt:lpstr>2000 samples, fewer epochs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2025-03-16T22:34:11Z</dcterms:modified>
</cp:coreProperties>
</file>